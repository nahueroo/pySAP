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10.10.9.227\Servidor_MAYEP\SSMEP\EMUI\CERTIF_CONTABLE\ASFALTO\nahuel\1 - Previal\"/>
    </mc:Choice>
  </mc:AlternateContent>
  <xr:revisionPtr revIDLastSave="0" documentId="13_ncr:1_{8A75B891-E229-4345-A0E8-578F83182DB5}" xr6:coauthVersionLast="47" xr6:coauthVersionMax="47" xr10:uidLastSave="{00000000-0000-0000-0000-000000000000}"/>
  <bookViews>
    <workbookView xWindow="-21720" yWindow="-2055" windowWidth="21840" windowHeight="13140" tabRatio="534" firstSheet="1" activeTab="2" xr2:uid="{00000000-000D-0000-FFFF-FFFF00000000}"/>
  </bookViews>
  <sheets>
    <sheet name="Hoja2" sheetId="13" state="hidden" r:id="rId1"/>
    <sheet name="TD" sheetId="14" r:id="rId2"/>
    <sheet name="BD" sheetId="12" r:id="rId3"/>
    <sheet name="Hoja1" sheetId="15" state="hidden" r:id="rId4"/>
    <sheet name="Preciario" sheetId="17" r:id="rId5"/>
  </sheets>
  <definedNames>
    <definedName name="_xlnm._FilterDatabase" localSheetId="2" hidden="1">BD!$A$1:$P$813</definedName>
    <definedName name="_xlnm._FilterDatabase" localSheetId="4" hidden="1">Preciario!$A$1:$Z$126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6" i="12" l="1"/>
  <c r="Q16" i="12" s="1"/>
  <c r="P17" i="12"/>
  <c r="Q17" i="12" s="1"/>
  <c r="P18" i="12"/>
  <c r="Q18" i="12" s="1"/>
  <c r="P19" i="12"/>
  <c r="Q19" i="12" s="1"/>
  <c r="P20" i="12"/>
  <c r="Q20" i="12" s="1"/>
  <c r="P21" i="12"/>
  <c r="Q21" i="12" s="1"/>
  <c r="P22" i="12"/>
  <c r="Q22" i="12" s="1"/>
  <c r="P23" i="12"/>
  <c r="Q23" i="12" s="1"/>
  <c r="P24" i="12"/>
  <c r="Q24" i="12" s="1"/>
  <c r="P25" i="12"/>
  <c r="Q25" i="12" s="1"/>
  <c r="P804" i="12"/>
  <c r="Q804" i="12" s="1"/>
  <c r="P805" i="12"/>
  <c r="Q805" i="12" s="1"/>
  <c r="P806" i="12"/>
  <c r="Q806" i="12" s="1"/>
  <c r="P807" i="12"/>
  <c r="Q807" i="12" s="1"/>
  <c r="P808" i="12"/>
  <c r="Q808" i="12" s="1"/>
  <c r="P809" i="12"/>
  <c r="Q809" i="12" s="1"/>
  <c r="P810" i="12"/>
  <c r="Q810" i="12" s="1"/>
  <c r="P811" i="12"/>
  <c r="Q811" i="12" s="1"/>
  <c r="P812" i="12"/>
  <c r="Q812" i="12" s="1"/>
  <c r="P813" i="12"/>
  <c r="Q813" i="12" s="1"/>
  <c r="P800" i="12" l="1"/>
  <c r="Q800" i="12" s="1"/>
  <c r="P801" i="12"/>
  <c r="Q801" i="12" s="1"/>
  <c r="P802" i="12"/>
  <c r="Q802" i="12" s="1"/>
  <c r="P803" i="12"/>
  <c r="Q803" i="12" s="1"/>
  <c r="P191" i="12" l="1"/>
  <c r="Q191" i="12" s="1"/>
  <c r="P192" i="12"/>
  <c r="Q192" i="12" s="1"/>
  <c r="P193" i="12"/>
  <c r="Q193" i="12" s="1"/>
  <c r="P194" i="12"/>
  <c r="Q194" i="12" s="1"/>
  <c r="P195" i="12"/>
  <c r="Q195" i="12" s="1"/>
  <c r="P196" i="12"/>
  <c r="Q196" i="12" s="1"/>
  <c r="P197" i="12"/>
  <c r="Q197" i="12" s="1"/>
  <c r="P198" i="12"/>
  <c r="Q198" i="12" s="1"/>
  <c r="P199" i="12"/>
  <c r="Q199" i="12" s="1"/>
  <c r="P200" i="12"/>
  <c r="Q200" i="12" s="1"/>
  <c r="P201" i="12"/>
  <c r="Q201" i="12" s="1"/>
  <c r="P202" i="12"/>
  <c r="Q202" i="12" s="1"/>
  <c r="P203" i="12"/>
  <c r="Q203" i="12" s="1"/>
  <c r="P204" i="12"/>
  <c r="Q204" i="12" s="1"/>
  <c r="P205" i="12"/>
  <c r="Q205" i="12" s="1"/>
  <c r="P206" i="12"/>
  <c r="Q206" i="12" s="1"/>
  <c r="P207" i="12"/>
  <c r="Q207" i="12" s="1"/>
  <c r="P208" i="12"/>
  <c r="Q208" i="12" s="1"/>
  <c r="P209" i="12"/>
  <c r="Q209" i="12" s="1"/>
  <c r="P210" i="12"/>
  <c r="Q210" i="12" s="1"/>
  <c r="P211" i="12"/>
  <c r="Q211" i="12" s="1"/>
  <c r="P212" i="12"/>
  <c r="Q212" i="12" s="1"/>
  <c r="P213" i="12"/>
  <c r="Q213" i="12" s="1"/>
  <c r="P214" i="12"/>
  <c r="Q214" i="12" s="1"/>
  <c r="P215" i="12"/>
  <c r="Q215" i="12" s="1"/>
  <c r="P216" i="12"/>
  <c r="Q216" i="12" s="1"/>
  <c r="P217" i="12"/>
  <c r="Q217" i="12" s="1"/>
  <c r="P218" i="12"/>
  <c r="Q218" i="12" s="1"/>
  <c r="P219" i="12"/>
  <c r="Q219" i="12" s="1"/>
  <c r="P220" i="12"/>
  <c r="Q220" i="12" s="1"/>
  <c r="P221" i="12"/>
  <c r="Q221" i="12" s="1"/>
  <c r="P222" i="12"/>
  <c r="Q222" i="12" s="1"/>
  <c r="P223" i="12"/>
  <c r="Q223" i="12" s="1"/>
  <c r="P224" i="12"/>
  <c r="Q224" i="12" s="1"/>
  <c r="P225" i="12"/>
  <c r="Q225" i="12" s="1"/>
  <c r="P226" i="12"/>
  <c r="Q226" i="12" s="1"/>
  <c r="P227" i="12"/>
  <c r="Q227" i="12" s="1"/>
  <c r="P228" i="12"/>
  <c r="Q228" i="12" s="1"/>
  <c r="P229" i="12"/>
  <c r="Q229" i="12" s="1"/>
  <c r="P230" i="12"/>
  <c r="Q230" i="12" s="1"/>
  <c r="P231" i="12"/>
  <c r="Q231" i="12" s="1"/>
  <c r="P232" i="12"/>
  <c r="Q232" i="12" s="1"/>
  <c r="P233" i="12"/>
  <c r="Q233" i="12" s="1"/>
  <c r="P234" i="12"/>
  <c r="Q234" i="12" s="1"/>
  <c r="P235" i="12"/>
  <c r="Q235" i="12" s="1"/>
  <c r="P236" i="12"/>
  <c r="Q236" i="12" s="1"/>
  <c r="P237" i="12"/>
  <c r="Q237" i="12" s="1"/>
  <c r="P238" i="12"/>
  <c r="Q238" i="12" s="1"/>
  <c r="P239" i="12"/>
  <c r="Q239" i="12" s="1"/>
  <c r="P240" i="12"/>
  <c r="Q240" i="12" s="1"/>
  <c r="P241" i="12"/>
  <c r="Q241" i="12" s="1"/>
  <c r="P242" i="12"/>
  <c r="Q242" i="12" s="1"/>
  <c r="P243" i="12"/>
  <c r="Q243" i="12" s="1"/>
  <c r="P244" i="12"/>
  <c r="Q244" i="12" s="1"/>
  <c r="P245" i="12"/>
  <c r="Q245" i="12" s="1"/>
  <c r="P246" i="12"/>
  <c r="Q246" i="12" s="1"/>
  <c r="P247" i="12"/>
  <c r="Q247" i="12" s="1"/>
  <c r="P248" i="12"/>
  <c r="Q248" i="12" s="1"/>
  <c r="P249" i="12"/>
  <c r="Q249" i="12" s="1"/>
  <c r="P250" i="12"/>
  <c r="Q250" i="12" s="1"/>
  <c r="P251" i="12"/>
  <c r="Q251" i="12" s="1"/>
  <c r="P252" i="12"/>
  <c r="Q252" i="12" s="1"/>
  <c r="P253" i="12"/>
  <c r="Q253" i="12" s="1"/>
  <c r="P254" i="12"/>
  <c r="Q254" i="12" s="1"/>
  <c r="P255" i="12"/>
  <c r="Q255" i="12" s="1"/>
  <c r="P256" i="12"/>
  <c r="Q256" i="12" s="1"/>
  <c r="P257" i="12"/>
  <c r="Q257" i="12" s="1"/>
  <c r="P258" i="12"/>
  <c r="Q258" i="12" s="1"/>
  <c r="P259" i="12"/>
  <c r="Q259" i="12" s="1"/>
  <c r="P260" i="12"/>
  <c r="Q260" i="12" s="1"/>
  <c r="P261" i="12"/>
  <c r="Q261" i="12" s="1"/>
  <c r="P262" i="12"/>
  <c r="Q262" i="12" s="1"/>
  <c r="P263" i="12"/>
  <c r="Q263" i="12" s="1"/>
  <c r="P264" i="12"/>
  <c r="Q264" i="12" s="1"/>
  <c r="P265" i="12"/>
  <c r="Q265" i="12" s="1"/>
  <c r="P266" i="12"/>
  <c r="Q266" i="12" s="1"/>
  <c r="P267" i="12"/>
  <c r="Q267" i="12" s="1"/>
  <c r="P268" i="12"/>
  <c r="Q268" i="12" s="1"/>
  <c r="P269" i="12"/>
  <c r="Q269" i="12" s="1"/>
  <c r="P270" i="12"/>
  <c r="Q270" i="12" s="1"/>
  <c r="P271" i="12"/>
  <c r="Q271" i="12" s="1"/>
  <c r="P272" i="12"/>
  <c r="Q272" i="12" s="1"/>
  <c r="P273" i="12"/>
  <c r="Q273" i="12" s="1"/>
  <c r="P274" i="12"/>
  <c r="Q274" i="12" s="1"/>
  <c r="P275" i="12"/>
  <c r="Q275" i="12" s="1"/>
  <c r="P276" i="12"/>
  <c r="Q276" i="12" s="1"/>
  <c r="P277" i="12"/>
  <c r="Q277" i="12" s="1"/>
  <c r="P278" i="12"/>
  <c r="Q278" i="12" s="1"/>
  <c r="P279" i="12"/>
  <c r="Q279" i="12" s="1"/>
  <c r="P280" i="12"/>
  <c r="Q280" i="12" s="1"/>
  <c r="P281" i="12"/>
  <c r="Q281" i="12" s="1"/>
  <c r="P282" i="12"/>
  <c r="Q282" i="12" s="1"/>
  <c r="P283" i="12"/>
  <c r="Q283" i="12" s="1"/>
  <c r="P284" i="12"/>
  <c r="Q284" i="12" s="1"/>
  <c r="P285" i="12"/>
  <c r="Q285" i="12" s="1"/>
  <c r="P286" i="12"/>
  <c r="Q286" i="12" s="1"/>
  <c r="P287" i="12"/>
  <c r="Q287" i="12" s="1"/>
  <c r="P288" i="12"/>
  <c r="Q288" i="12" s="1"/>
  <c r="P289" i="12"/>
  <c r="Q289" i="12" s="1"/>
  <c r="P290" i="12"/>
  <c r="Q290" i="12" s="1"/>
  <c r="P291" i="12"/>
  <c r="Q291" i="12" s="1"/>
  <c r="P292" i="12"/>
  <c r="Q292" i="12" s="1"/>
  <c r="P293" i="12"/>
  <c r="Q293" i="12" s="1"/>
  <c r="P294" i="12"/>
  <c r="Q294" i="12" s="1"/>
  <c r="P295" i="12"/>
  <c r="Q295" i="12" s="1"/>
  <c r="P296" i="12"/>
  <c r="Q296" i="12" s="1"/>
  <c r="P297" i="12"/>
  <c r="Q297" i="12" s="1"/>
  <c r="P298" i="12"/>
  <c r="Q298" i="12" s="1"/>
  <c r="P299" i="12"/>
  <c r="Q299" i="12" s="1"/>
  <c r="P300" i="12"/>
  <c r="Q300" i="12" s="1"/>
  <c r="P301" i="12"/>
  <c r="Q301" i="12" s="1"/>
  <c r="P302" i="12"/>
  <c r="Q302" i="12" s="1"/>
  <c r="P303" i="12"/>
  <c r="Q303" i="12" s="1"/>
  <c r="P304" i="12"/>
  <c r="Q304" i="12" s="1"/>
  <c r="P305" i="12"/>
  <c r="Q305" i="12" s="1"/>
  <c r="P306" i="12"/>
  <c r="Q306" i="12" s="1"/>
  <c r="P307" i="12"/>
  <c r="Q307" i="12" s="1"/>
  <c r="P308" i="12"/>
  <c r="Q308" i="12" s="1"/>
  <c r="P309" i="12"/>
  <c r="Q309" i="12" s="1"/>
  <c r="P310" i="12"/>
  <c r="Q310" i="12" s="1"/>
  <c r="P311" i="12"/>
  <c r="Q311" i="12" s="1"/>
  <c r="P312" i="12"/>
  <c r="Q312" i="12" s="1"/>
  <c r="P313" i="12"/>
  <c r="Q313" i="12" s="1"/>
  <c r="P314" i="12"/>
  <c r="Q314" i="12" s="1"/>
  <c r="P315" i="12"/>
  <c r="Q315" i="12" s="1"/>
  <c r="P316" i="12"/>
  <c r="Q316" i="12" s="1"/>
  <c r="P317" i="12"/>
  <c r="Q317" i="12" s="1"/>
  <c r="P318" i="12"/>
  <c r="Q318" i="12" s="1"/>
  <c r="P319" i="12"/>
  <c r="Q319" i="12" s="1"/>
  <c r="P320" i="12"/>
  <c r="Q320" i="12" s="1"/>
  <c r="P321" i="12"/>
  <c r="Q321" i="12" s="1"/>
  <c r="P322" i="12"/>
  <c r="Q322" i="12" s="1"/>
  <c r="P323" i="12"/>
  <c r="Q323" i="12" s="1"/>
  <c r="P324" i="12"/>
  <c r="Q324" i="12" s="1"/>
  <c r="P325" i="12"/>
  <c r="Q325" i="12" s="1"/>
  <c r="P326" i="12"/>
  <c r="Q326" i="12" s="1"/>
  <c r="P327" i="12"/>
  <c r="Q327" i="12" s="1"/>
  <c r="P328" i="12"/>
  <c r="Q328" i="12" s="1"/>
  <c r="P329" i="12"/>
  <c r="Q329" i="12" s="1"/>
  <c r="P330" i="12"/>
  <c r="Q330" i="12" s="1"/>
  <c r="P331" i="12"/>
  <c r="Q331" i="12" s="1"/>
  <c r="P332" i="12"/>
  <c r="Q332" i="12" s="1"/>
  <c r="P333" i="12"/>
  <c r="Q333" i="12" s="1"/>
  <c r="P334" i="12"/>
  <c r="Q334" i="12" s="1"/>
  <c r="P335" i="12"/>
  <c r="Q335" i="12" s="1"/>
  <c r="P336" i="12"/>
  <c r="Q336" i="12" s="1"/>
  <c r="P337" i="12"/>
  <c r="Q337" i="12" s="1"/>
  <c r="P338" i="12"/>
  <c r="Q338" i="12" s="1"/>
  <c r="P339" i="12"/>
  <c r="Q339" i="12" s="1"/>
  <c r="P340" i="12"/>
  <c r="Q340" i="12" s="1"/>
  <c r="P341" i="12"/>
  <c r="Q341" i="12" s="1"/>
  <c r="P342" i="12"/>
  <c r="Q342" i="12" s="1"/>
  <c r="P343" i="12"/>
  <c r="Q343" i="12" s="1"/>
  <c r="P344" i="12"/>
  <c r="Q344" i="12" s="1"/>
  <c r="P345" i="12"/>
  <c r="Q345" i="12" s="1"/>
  <c r="P346" i="12"/>
  <c r="Q346" i="12" s="1"/>
  <c r="P347" i="12"/>
  <c r="Q347" i="12" s="1"/>
  <c r="P348" i="12"/>
  <c r="Q348" i="12" s="1"/>
  <c r="P349" i="12"/>
  <c r="Q349" i="12" s="1"/>
  <c r="P350" i="12"/>
  <c r="Q350" i="12" s="1"/>
  <c r="P351" i="12"/>
  <c r="Q351" i="12" s="1"/>
  <c r="P352" i="12"/>
  <c r="Q352" i="12" s="1"/>
  <c r="P353" i="12"/>
  <c r="Q353" i="12" s="1"/>
  <c r="P354" i="12"/>
  <c r="Q354" i="12" s="1"/>
  <c r="P355" i="12"/>
  <c r="Q355" i="12" s="1"/>
  <c r="P356" i="12"/>
  <c r="Q356" i="12" s="1"/>
  <c r="P357" i="12"/>
  <c r="Q357" i="12" s="1"/>
  <c r="P358" i="12"/>
  <c r="Q358" i="12" s="1"/>
  <c r="P359" i="12"/>
  <c r="Q359" i="12" s="1"/>
  <c r="P360" i="12"/>
  <c r="Q360" i="12" s="1"/>
  <c r="P361" i="12"/>
  <c r="Q361" i="12" s="1"/>
  <c r="P362" i="12"/>
  <c r="Q362" i="12" s="1"/>
  <c r="P363" i="12"/>
  <c r="Q363" i="12" s="1"/>
  <c r="P364" i="12"/>
  <c r="Q364" i="12" s="1"/>
  <c r="P365" i="12"/>
  <c r="Q365" i="12" s="1"/>
  <c r="P366" i="12"/>
  <c r="Q366" i="12" s="1"/>
  <c r="P367" i="12"/>
  <c r="Q367" i="12" s="1"/>
  <c r="P368" i="12"/>
  <c r="Q368" i="12" s="1"/>
  <c r="P369" i="12"/>
  <c r="Q369" i="12" s="1"/>
  <c r="P370" i="12"/>
  <c r="Q370" i="12" s="1"/>
  <c r="P371" i="12"/>
  <c r="Q371" i="12" s="1"/>
  <c r="P372" i="12"/>
  <c r="Q372" i="12" s="1"/>
  <c r="P373" i="12"/>
  <c r="Q373" i="12" s="1"/>
  <c r="P374" i="12"/>
  <c r="Q374" i="12" s="1"/>
  <c r="P375" i="12"/>
  <c r="Q375" i="12" s="1"/>
  <c r="P376" i="12"/>
  <c r="Q376" i="12" s="1"/>
  <c r="P377" i="12"/>
  <c r="Q377" i="12" s="1"/>
  <c r="P378" i="12"/>
  <c r="Q378" i="12" s="1"/>
  <c r="P379" i="12"/>
  <c r="Q379" i="12" s="1"/>
  <c r="P380" i="12"/>
  <c r="Q380" i="12" s="1"/>
  <c r="P381" i="12"/>
  <c r="Q381" i="12" s="1"/>
  <c r="P382" i="12"/>
  <c r="Q382" i="12" s="1"/>
  <c r="P383" i="12"/>
  <c r="Q383" i="12" s="1"/>
  <c r="P384" i="12"/>
  <c r="Q384" i="12" s="1"/>
  <c r="P385" i="12"/>
  <c r="Q385" i="12" s="1"/>
  <c r="P386" i="12"/>
  <c r="Q386" i="12" s="1"/>
  <c r="P387" i="12"/>
  <c r="Q387" i="12" s="1"/>
  <c r="P388" i="12"/>
  <c r="Q388" i="12" s="1"/>
  <c r="P389" i="12"/>
  <c r="Q389" i="12" s="1"/>
  <c r="P390" i="12"/>
  <c r="Q390" i="12" s="1"/>
  <c r="P391" i="12"/>
  <c r="Q391" i="12" s="1"/>
  <c r="P392" i="12"/>
  <c r="Q392" i="12" s="1"/>
  <c r="P393" i="12"/>
  <c r="Q393" i="12" s="1"/>
  <c r="P394" i="12"/>
  <c r="Q394" i="12" s="1"/>
  <c r="P395" i="12"/>
  <c r="Q395" i="12" s="1"/>
  <c r="P396" i="12"/>
  <c r="Q396" i="12" s="1"/>
  <c r="P397" i="12"/>
  <c r="Q397" i="12" s="1"/>
  <c r="P398" i="12"/>
  <c r="Q398" i="12" s="1"/>
  <c r="P399" i="12"/>
  <c r="Q399" i="12" s="1"/>
  <c r="P400" i="12"/>
  <c r="Q400" i="12" s="1"/>
  <c r="P401" i="12"/>
  <c r="Q401" i="12" s="1"/>
  <c r="P402" i="12"/>
  <c r="Q402" i="12" s="1"/>
  <c r="P403" i="12"/>
  <c r="Q403" i="12" s="1"/>
  <c r="P404" i="12"/>
  <c r="Q404" i="12" s="1"/>
  <c r="P405" i="12"/>
  <c r="Q405" i="12" s="1"/>
  <c r="P406" i="12"/>
  <c r="Q406" i="12" s="1"/>
  <c r="P407" i="12"/>
  <c r="Q407" i="12" s="1"/>
  <c r="P408" i="12"/>
  <c r="Q408" i="12" s="1"/>
  <c r="P409" i="12"/>
  <c r="Q409" i="12" s="1"/>
  <c r="P410" i="12"/>
  <c r="Q410" i="12" s="1"/>
  <c r="P411" i="12"/>
  <c r="Q411" i="12" s="1"/>
  <c r="P412" i="12"/>
  <c r="Q412" i="12" s="1"/>
  <c r="P413" i="12"/>
  <c r="Q413" i="12" s="1"/>
  <c r="P414" i="12"/>
  <c r="Q414" i="12" s="1"/>
  <c r="P415" i="12"/>
  <c r="Q415" i="12" s="1"/>
  <c r="P416" i="12"/>
  <c r="Q416" i="12" s="1"/>
  <c r="P417" i="12"/>
  <c r="Q417" i="12" s="1"/>
  <c r="P418" i="12"/>
  <c r="Q418" i="12" s="1"/>
  <c r="P419" i="12"/>
  <c r="Q419" i="12" s="1"/>
  <c r="P420" i="12"/>
  <c r="Q420" i="12" s="1"/>
  <c r="P421" i="12"/>
  <c r="Q421" i="12" s="1"/>
  <c r="P422" i="12"/>
  <c r="Q422" i="12" s="1"/>
  <c r="P423" i="12"/>
  <c r="Q423" i="12" s="1"/>
  <c r="P424" i="12"/>
  <c r="Q424" i="12" s="1"/>
  <c r="P425" i="12"/>
  <c r="Q425" i="12" s="1"/>
  <c r="P426" i="12"/>
  <c r="Q426" i="12" s="1"/>
  <c r="P427" i="12"/>
  <c r="Q427" i="12" s="1"/>
  <c r="P428" i="12"/>
  <c r="Q428" i="12" s="1"/>
  <c r="P429" i="12"/>
  <c r="Q429" i="12" s="1"/>
  <c r="P430" i="12"/>
  <c r="Q430" i="12" s="1"/>
  <c r="P431" i="12"/>
  <c r="Q431" i="12" s="1"/>
  <c r="P432" i="12"/>
  <c r="Q432" i="12" s="1"/>
  <c r="P433" i="12"/>
  <c r="Q433" i="12" s="1"/>
  <c r="P434" i="12"/>
  <c r="Q434" i="12" s="1"/>
  <c r="P435" i="12"/>
  <c r="Q435" i="12" s="1"/>
  <c r="P436" i="12"/>
  <c r="Q436" i="12" s="1"/>
  <c r="P437" i="12"/>
  <c r="Q437" i="12" s="1"/>
  <c r="P438" i="12"/>
  <c r="Q438" i="12" s="1"/>
  <c r="P439" i="12"/>
  <c r="Q439" i="12" s="1"/>
  <c r="P440" i="12"/>
  <c r="Q440" i="12" s="1"/>
  <c r="P441" i="12"/>
  <c r="Q441" i="12" s="1"/>
  <c r="P442" i="12"/>
  <c r="Q442" i="12" s="1"/>
  <c r="P443" i="12"/>
  <c r="Q443" i="12" s="1"/>
  <c r="P444" i="12"/>
  <c r="Q444" i="12" s="1"/>
  <c r="P445" i="12"/>
  <c r="Q445" i="12" s="1"/>
  <c r="P446" i="12"/>
  <c r="Q446" i="12" s="1"/>
  <c r="P447" i="12"/>
  <c r="Q447" i="12" s="1"/>
  <c r="P448" i="12"/>
  <c r="Q448" i="12" s="1"/>
  <c r="P449" i="12"/>
  <c r="Q449" i="12" s="1"/>
  <c r="P450" i="12"/>
  <c r="Q450" i="12" s="1"/>
  <c r="P451" i="12"/>
  <c r="Q451" i="12" s="1"/>
  <c r="P452" i="12"/>
  <c r="Q452" i="12" s="1"/>
  <c r="P453" i="12"/>
  <c r="Q453" i="12" s="1"/>
  <c r="P454" i="12"/>
  <c r="Q454" i="12" s="1"/>
  <c r="P455" i="12"/>
  <c r="Q455" i="12" s="1"/>
  <c r="P456" i="12"/>
  <c r="Q456" i="12" s="1"/>
  <c r="P457" i="12"/>
  <c r="Q457" i="12" s="1"/>
  <c r="P458" i="12"/>
  <c r="Q458" i="12" s="1"/>
  <c r="P459" i="12"/>
  <c r="Q459" i="12" s="1"/>
  <c r="P460" i="12"/>
  <c r="Q460" i="12" s="1"/>
  <c r="P461" i="12"/>
  <c r="Q461" i="12" s="1"/>
  <c r="P462" i="12"/>
  <c r="Q462" i="12" s="1"/>
  <c r="P463" i="12"/>
  <c r="Q463" i="12" s="1"/>
  <c r="P464" i="12"/>
  <c r="Q464" i="12" s="1"/>
  <c r="P465" i="12"/>
  <c r="Q465" i="12" s="1"/>
  <c r="P466" i="12"/>
  <c r="Q466" i="12" s="1"/>
  <c r="P467" i="12"/>
  <c r="Q467" i="12" s="1"/>
  <c r="P468" i="12"/>
  <c r="Q468" i="12" s="1"/>
  <c r="P469" i="12"/>
  <c r="Q469" i="12" s="1"/>
  <c r="P470" i="12"/>
  <c r="Q470" i="12" s="1"/>
  <c r="P471" i="12"/>
  <c r="Q471" i="12" s="1"/>
  <c r="P472" i="12"/>
  <c r="Q472" i="12" s="1"/>
  <c r="P473" i="12"/>
  <c r="Q473" i="12" s="1"/>
  <c r="P474" i="12"/>
  <c r="Q474" i="12" s="1"/>
  <c r="P475" i="12"/>
  <c r="Q475" i="12" s="1"/>
  <c r="P476" i="12"/>
  <c r="Q476" i="12" s="1"/>
  <c r="P477" i="12"/>
  <c r="Q477" i="12" s="1"/>
  <c r="P478" i="12"/>
  <c r="Q478" i="12" s="1"/>
  <c r="P479" i="12"/>
  <c r="Q479" i="12" s="1"/>
  <c r="P480" i="12"/>
  <c r="Q480" i="12" s="1"/>
  <c r="P481" i="12"/>
  <c r="Q481" i="12" s="1"/>
  <c r="P482" i="12"/>
  <c r="Q482" i="12" s="1"/>
  <c r="P483" i="12"/>
  <c r="Q483" i="12" s="1"/>
  <c r="P484" i="12"/>
  <c r="Q484" i="12" s="1"/>
  <c r="P485" i="12"/>
  <c r="Q485" i="12" s="1"/>
  <c r="P486" i="12"/>
  <c r="Q486" i="12" s="1"/>
  <c r="P487" i="12"/>
  <c r="Q487" i="12" s="1"/>
  <c r="P488" i="12"/>
  <c r="Q488" i="12" s="1"/>
  <c r="P489" i="12"/>
  <c r="Q489" i="12" s="1"/>
  <c r="P490" i="12"/>
  <c r="Q490" i="12" s="1"/>
  <c r="P491" i="12"/>
  <c r="Q491" i="12" s="1"/>
  <c r="P492" i="12"/>
  <c r="Q492" i="12" s="1"/>
  <c r="P493" i="12"/>
  <c r="Q493" i="12" s="1"/>
  <c r="P494" i="12"/>
  <c r="Q494" i="12" s="1"/>
  <c r="P495" i="12"/>
  <c r="Q495" i="12" s="1"/>
  <c r="P496" i="12"/>
  <c r="Q496" i="12" s="1"/>
  <c r="P497" i="12"/>
  <c r="Q497" i="12" s="1"/>
  <c r="P498" i="12"/>
  <c r="Q498" i="12" s="1"/>
  <c r="P499" i="12"/>
  <c r="Q499" i="12" s="1"/>
  <c r="P500" i="12"/>
  <c r="Q500" i="12" s="1"/>
  <c r="P501" i="12"/>
  <c r="Q501" i="12" s="1"/>
  <c r="P502" i="12"/>
  <c r="Q502" i="12" s="1"/>
  <c r="P503" i="12"/>
  <c r="Q503" i="12" s="1"/>
  <c r="P504" i="12"/>
  <c r="Q504" i="12" s="1"/>
  <c r="P505" i="12"/>
  <c r="Q505" i="12" s="1"/>
  <c r="P506" i="12"/>
  <c r="Q506" i="12" s="1"/>
  <c r="P507" i="12"/>
  <c r="Q507" i="12" s="1"/>
  <c r="P508" i="12"/>
  <c r="Q508" i="12" s="1"/>
  <c r="P509" i="12"/>
  <c r="Q509" i="12" s="1"/>
  <c r="P510" i="12"/>
  <c r="Q510" i="12" s="1"/>
  <c r="P511" i="12"/>
  <c r="Q511" i="12" s="1"/>
  <c r="P512" i="12"/>
  <c r="Q512" i="12" s="1"/>
  <c r="P513" i="12"/>
  <c r="Q513" i="12" s="1"/>
  <c r="P514" i="12"/>
  <c r="Q514" i="12" s="1"/>
  <c r="P515" i="12"/>
  <c r="Q515" i="12" s="1"/>
  <c r="P516" i="12"/>
  <c r="Q516" i="12" s="1"/>
  <c r="P517" i="12"/>
  <c r="Q517" i="12" s="1"/>
  <c r="P518" i="12"/>
  <c r="Q518" i="12" s="1"/>
  <c r="P519" i="12"/>
  <c r="Q519" i="12" s="1"/>
  <c r="P520" i="12"/>
  <c r="Q520" i="12" s="1"/>
  <c r="P521" i="12"/>
  <c r="Q521" i="12" s="1"/>
  <c r="P522" i="12"/>
  <c r="Q522" i="12" s="1"/>
  <c r="P523" i="12"/>
  <c r="Q523" i="12" s="1"/>
  <c r="P524" i="12"/>
  <c r="Q524" i="12" s="1"/>
  <c r="P525" i="12"/>
  <c r="Q525" i="12" s="1"/>
  <c r="P526" i="12"/>
  <c r="Q526" i="12" s="1"/>
  <c r="P527" i="12"/>
  <c r="Q527" i="12" s="1"/>
  <c r="P528" i="12"/>
  <c r="Q528" i="12" s="1"/>
  <c r="P529" i="12"/>
  <c r="Q529" i="12" s="1"/>
  <c r="P530" i="12"/>
  <c r="Q530" i="12" s="1"/>
  <c r="P531" i="12"/>
  <c r="Q531" i="12" s="1"/>
  <c r="P532" i="12"/>
  <c r="Q532" i="12" s="1"/>
  <c r="P533" i="12"/>
  <c r="Q533" i="12" s="1"/>
  <c r="P534" i="12"/>
  <c r="Q534" i="12" s="1"/>
  <c r="P535" i="12"/>
  <c r="Q535" i="12" s="1"/>
  <c r="P536" i="12"/>
  <c r="Q536" i="12" s="1"/>
  <c r="P537" i="12"/>
  <c r="Q537" i="12" s="1"/>
  <c r="P538" i="12"/>
  <c r="Q538" i="12" s="1"/>
  <c r="P539" i="12"/>
  <c r="Q539" i="12" s="1"/>
  <c r="P540" i="12"/>
  <c r="Q540" i="12" s="1"/>
  <c r="P541" i="12"/>
  <c r="Q541" i="12" s="1"/>
  <c r="P542" i="12"/>
  <c r="Q542" i="12" s="1"/>
  <c r="P543" i="12"/>
  <c r="Q543" i="12" s="1"/>
  <c r="P544" i="12"/>
  <c r="Q544" i="12" s="1"/>
  <c r="P545" i="12"/>
  <c r="Q545" i="12" s="1"/>
  <c r="P546" i="12"/>
  <c r="Q546" i="12" s="1"/>
  <c r="P547" i="12"/>
  <c r="Q547" i="12" s="1"/>
  <c r="P548" i="12"/>
  <c r="Q548" i="12" s="1"/>
  <c r="P549" i="12"/>
  <c r="Q549" i="12" s="1"/>
  <c r="P550" i="12"/>
  <c r="Q550" i="12" s="1"/>
  <c r="P551" i="12"/>
  <c r="Q551" i="12" s="1"/>
  <c r="P552" i="12"/>
  <c r="Q552" i="12" s="1"/>
  <c r="P553" i="12"/>
  <c r="Q553" i="12" s="1"/>
  <c r="P554" i="12"/>
  <c r="Q554" i="12" s="1"/>
  <c r="P555" i="12"/>
  <c r="Q555" i="12" s="1"/>
  <c r="P556" i="12"/>
  <c r="Q556" i="12" s="1"/>
  <c r="P557" i="12"/>
  <c r="Q557" i="12" s="1"/>
  <c r="P558" i="12"/>
  <c r="Q558" i="12" s="1"/>
  <c r="P559" i="12"/>
  <c r="Q559" i="12" s="1"/>
  <c r="P560" i="12"/>
  <c r="Q560" i="12" s="1"/>
  <c r="P561" i="12"/>
  <c r="Q561" i="12" s="1"/>
  <c r="P562" i="12"/>
  <c r="Q562" i="12" s="1"/>
  <c r="P563" i="12"/>
  <c r="Q563" i="12" s="1"/>
  <c r="P564" i="12"/>
  <c r="Q564" i="12" s="1"/>
  <c r="P565" i="12"/>
  <c r="Q565" i="12" s="1"/>
  <c r="P566" i="12"/>
  <c r="Q566" i="12" s="1"/>
  <c r="P567" i="12"/>
  <c r="Q567" i="12" s="1"/>
  <c r="P568" i="12"/>
  <c r="Q568" i="12" s="1"/>
  <c r="P569" i="12"/>
  <c r="Q569" i="12" s="1"/>
  <c r="P570" i="12"/>
  <c r="Q570" i="12" s="1"/>
  <c r="P571" i="12"/>
  <c r="Q571" i="12" s="1"/>
  <c r="P572" i="12"/>
  <c r="Q572" i="12" s="1"/>
  <c r="P573" i="12"/>
  <c r="Q573" i="12" s="1"/>
  <c r="P574" i="12"/>
  <c r="Q574" i="12" s="1"/>
  <c r="P575" i="12"/>
  <c r="Q575" i="12" s="1"/>
  <c r="P576" i="12"/>
  <c r="Q576" i="12" s="1"/>
  <c r="P577" i="12"/>
  <c r="Q577" i="12" s="1"/>
  <c r="P578" i="12"/>
  <c r="Q578" i="12" s="1"/>
  <c r="P579" i="12"/>
  <c r="Q579" i="12" s="1"/>
  <c r="P580" i="12"/>
  <c r="Q580" i="12" s="1"/>
  <c r="P581" i="12"/>
  <c r="Q581" i="12" s="1"/>
  <c r="P582" i="12"/>
  <c r="Q582" i="12" s="1"/>
  <c r="P583" i="12"/>
  <c r="Q583" i="12" s="1"/>
  <c r="P584" i="12"/>
  <c r="Q584" i="12" s="1"/>
  <c r="P585" i="12"/>
  <c r="Q585" i="12" s="1"/>
  <c r="P586" i="12"/>
  <c r="Q586" i="12" s="1"/>
  <c r="P587" i="12"/>
  <c r="Q587" i="12" s="1"/>
  <c r="P588" i="12"/>
  <c r="Q588" i="12" s="1"/>
  <c r="P589" i="12"/>
  <c r="Q589" i="12" s="1"/>
  <c r="P590" i="12"/>
  <c r="Q590" i="12" s="1"/>
  <c r="P591" i="12"/>
  <c r="Q591" i="12" s="1"/>
  <c r="P592" i="12"/>
  <c r="Q592" i="12" s="1"/>
  <c r="P593" i="12"/>
  <c r="Q593" i="12" s="1"/>
  <c r="P594" i="12"/>
  <c r="Q594" i="12" s="1"/>
  <c r="P595" i="12"/>
  <c r="Q595" i="12" s="1"/>
  <c r="P596" i="12"/>
  <c r="Q596" i="12" s="1"/>
  <c r="P597" i="12"/>
  <c r="Q597" i="12" s="1"/>
  <c r="P598" i="12"/>
  <c r="Q598" i="12" s="1"/>
  <c r="P599" i="12"/>
  <c r="Q599" i="12" s="1"/>
  <c r="P600" i="12"/>
  <c r="Q600" i="12" s="1"/>
  <c r="P601" i="12"/>
  <c r="Q601" i="12" s="1"/>
  <c r="P602" i="12"/>
  <c r="Q602" i="12" s="1"/>
  <c r="P603" i="12"/>
  <c r="Q603" i="12" s="1"/>
  <c r="P604" i="12"/>
  <c r="Q604" i="12" s="1"/>
  <c r="P605" i="12"/>
  <c r="Q605" i="12" s="1"/>
  <c r="P606" i="12"/>
  <c r="Q606" i="12" s="1"/>
  <c r="P607" i="12"/>
  <c r="Q607" i="12" s="1"/>
  <c r="P608" i="12"/>
  <c r="Q608" i="12" s="1"/>
  <c r="P609" i="12"/>
  <c r="Q609" i="12" s="1"/>
  <c r="P610" i="12"/>
  <c r="Q610" i="12" s="1"/>
  <c r="P611" i="12"/>
  <c r="Q611" i="12" s="1"/>
  <c r="P612" i="12"/>
  <c r="Q612" i="12" s="1"/>
  <c r="P613" i="12"/>
  <c r="Q613" i="12" s="1"/>
  <c r="P614" i="12"/>
  <c r="Q614" i="12" s="1"/>
  <c r="P615" i="12"/>
  <c r="Q615" i="12" s="1"/>
  <c r="P616" i="12"/>
  <c r="Q616" i="12" s="1"/>
  <c r="P617" i="12"/>
  <c r="Q617" i="12" s="1"/>
  <c r="P618" i="12"/>
  <c r="Q618" i="12" s="1"/>
  <c r="P619" i="12"/>
  <c r="Q619" i="12" s="1"/>
  <c r="P620" i="12"/>
  <c r="Q620" i="12" s="1"/>
  <c r="P621" i="12"/>
  <c r="Q621" i="12" s="1"/>
  <c r="P622" i="12"/>
  <c r="Q622" i="12" s="1"/>
  <c r="P623" i="12"/>
  <c r="Q623" i="12" s="1"/>
  <c r="P624" i="12"/>
  <c r="Q624" i="12" s="1"/>
  <c r="P625" i="12"/>
  <c r="Q625" i="12" s="1"/>
  <c r="P626" i="12"/>
  <c r="Q626" i="12" s="1"/>
  <c r="P627" i="12"/>
  <c r="Q627" i="12" s="1"/>
  <c r="P628" i="12"/>
  <c r="Q628" i="12" s="1"/>
  <c r="P629" i="12"/>
  <c r="Q629" i="12" s="1"/>
  <c r="P630" i="12"/>
  <c r="Q630" i="12" s="1"/>
  <c r="P631" i="12"/>
  <c r="Q631" i="12" s="1"/>
  <c r="P632" i="12"/>
  <c r="Q632" i="12" s="1"/>
  <c r="P633" i="12"/>
  <c r="Q633" i="12" s="1"/>
  <c r="P634" i="12"/>
  <c r="Q634" i="12" s="1"/>
  <c r="P635" i="12"/>
  <c r="Q635" i="12" s="1"/>
  <c r="P636" i="12"/>
  <c r="Q636" i="12" s="1"/>
  <c r="P637" i="12"/>
  <c r="Q637" i="12" s="1"/>
  <c r="P638" i="12"/>
  <c r="Q638" i="12" s="1"/>
  <c r="P639" i="12"/>
  <c r="Q639" i="12" s="1"/>
  <c r="P640" i="12"/>
  <c r="Q640" i="12" s="1"/>
  <c r="P641" i="12"/>
  <c r="Q641" i="12" s="1"/>
  <c r="P642" i="12"/>
  <c r="Q642" i="12" s="1"/>
  <c r="P643" i="12"/>
  <c r="Q643" i="12" s="1"/>
  <c r="P644" i="12"/>
  <c r="Q644" i="12" s="1"/>
  <c r="P645" i="12"/>
  <c r="Q645" i="12" s="1"/>
  <c r="P646" i="12"/>
  <c r="Q646" i="12" s="1"/>
  <c r="P647" i="12"/>
  <c r="Q647" i="12" s="1"/>
  <c r="P648" i="12"/>
  <c r="Q648" i="12" s="1"/>
  <c r="P649" i="12"/>
  <c r="Q649" i="12" s="1"/>
  <c r="P650" i="12"/>
  <c r="Q650" i="12" s="1"/>
  <c r="P651" i="12"/>
  <c r="Q651" i="12" s="1"/>
  <c r="P652" i="12"/>
  <c r="Q652" i="12" s="1"/>
  <c r="P653" i="12"/>
  <c r="Q653" i="12" s="1"/>
  <c r="P654" i="12"/>
  <c r="Q654" i="12" s="1"/>
  <c r="P655" i="12"/>
  <c r="Q655" i="12" s="1"/>
  <c r="P656" i="12"/>
  <c r="Q656" i="12" s="1"/>
  <c r="P657" i="12"/>
  <c r="Q657" i="12" s="1"/>
  <c r="P658" i="12"/>
  <c r="Q658" i="12" s="1"/>
  <c r="P659" i="12"/>
  <c r="Q659" i="12" s="1"/>
  <c r="P660" i="12"/>
  <c r="Q660" i="12" s="1"/>
  <c r="P661" i="12"/>
  <c r="Q661" i="12" s="1"/>
  <c r="P662" i="12"/>
  <c r="Q662" i="12" s="1"/>
  <c r="P663" i="12"/>
  <c r="Q663" i="12" s="1"/>
  <c r="P664" i="12"/>
  <c r="Q664" i="12" s="1"/>
  <c r="P665" i="12"/>
  <c r="Q665" i="12" s="1"/>
  <c r="P666" i="12"/>
  <c r="Q666" i="12" s="1"/>
  <c r="P667" i="12"/>
  <c r="Q667" i="12" s="1"/>
  <c r="P668" i="12"/>
  <c r="Q668" i="12" s="1"/>
  <c r="P669" i="12"/>
  <c r="Q669" i="12" s="1"/>
  <c r="P670" i="12"/>
  <c r="Q670" i="12" s="1"/>
  <c r="P671" i="12"/>
  <c r="Q671" i="12" s="1"/>
  <c r="P672" i="12"/>
  <c r="Q672" i="12" s="1"/>
  <c r="P673" i="12"/>
  <c r="Q673" i="12" s="1"/>
  <c r="P674" i="12"/>
  <c r="Q674" i="12" s="1"/>
  <c r="P675" i="12"/>
  <c r="Q675" i="12" s="1"/>
  <c r="P676" i="12"/>
  <c r="Q676" i="12" s="1"/>
  <c r="P677" i="12"/>
  <c r="Q677" i="12" s="1"/>
  <c r="P678" i="12"/>
  <c r="Q678" i="12" s="1"/>
  <c r="P679" i="12"/>
  <c r="Q679" i="12" s="1"/>
  <c r="P680" i="12"/>
  <c r="Q680" i="12" s="1"/>
  <c r="P681" i="12"/>
  <c r="Q681" i="12" s="1"/>
  <c r="P682" i="12"/>
  <c r="Q682" i="12" s="1"/>
  <c r="P683" i="12"/>
  <c r="Q683" i="12" s="1"/>
  <c r="P684" i="12"/>
  <c r="Q684" i="12" s="1"/>
  <c r="P685" i="12"/>
  <c r="Q685" i="12" s="1"/>
  <c r="P686" i="12"/>
  <c r="Q686" i="12" s="1"/>
  <c r="P687" i="12"/>
  <c r="Q687" i="12" s="1"/>
  <c r="P688" i="12"/>
  <c r="Q688" i="12" s="1"/>
  <c r="P689" i="12"/>
  <c r="Q689" i="12" s="1"/>
  <c r="P690" i="12"/>
  <c r="Q690" i="12" s="1"/>
  <c r="P691" i="12"/>
  <c r="Q691" i="12" s="1"/>
  <c r="P692" i="12"/>
  <c r="Q692" i="12" s="1"/>
  <c r="P693" i="12"/>
  <c r="Q693" i="12" s="1"/>
  <c r="P694" i="12"/>
  <c r="Q694" i="12" s="1"/>
  <c r="P695" i="12"/>
  <c r="Q695" i="12" s="1"/>
  <c r="P696" i="12"/>
  <c r="Q696" i="12" s="1"/>
  <c r="P697" i="12"/>
  <c r="Q697" i="12" s="1"/>
  <c r="P698" i="12"/>
  <c r="Q698" i="12" s="1"/>
  <c r="P699" i="12"/>
  <c r="Q699" i="12" s="1"/>
  <c r="P700" i="12"/>
  <c r="Q700" i="12" s="1"/>
  <c r="P701" i="12"/>
  <c r="Q701" i="12" s="1"/>
  <c r="P702" i="12"/>
  <c r="Q702" i="12" s="1"/>
  <c r="P703" i="12"/>
  <c r="Q703" i="12" s="1"/>
  <c r="P704" i="12"/>
  <c r="Q704" i="12" s="1"/>
  <c r="P705" i="12"/>
  <c r="Q705" i="12" s="1"/>
  <c r="P706" i="12"/>
  <c r="Q706" i="12" s="1"/>
  <c r="P707" i="12"/>
  <c r="Q707" i="12" s="1"/>
  <c r="P708" i="12"/>
  <c r="Q708" i="12" s="1"/>
  <c r="P709" i="12"/>
  <c r="Q709" i="12" s="1"/>
  <c r="P710" i="12"/>
  <c r="Q710" i="12" s="1"/>
  <c r="P711" i="12"/>
  <c r="Q711" i="12" s="1"/>
  <c r="P712" i="12"/>
  <c r="Q712" i="12" s="1"/>
  <c r="P713" i="12"/>
  <c r="Q713" i="12" s="1"/>
  <c r="P714" i="12"/>
  <c r="Q714" i="12" s="1"/>
  <c r="P715" i="12"/>
  <c r="Q715" i="12" s="1"/>
  <c r="P716" i="12"/>
  <c r="Q716" i="12" s="1"/>
  <c r="P717" i="12"/>
  <c r="Q717" i="12" s="1"/>
  <c r="P718" i="12"/>
  <c r="Q718" i="12" s="1"/>
  <c r="P719" i="12"/>
  <c r="Q719" i="12" s="1"/>
  <c r="P720" i="12"/>
  <c r="Q720" i="12" s="1"/>
  <c r="P721" i="12"/>
  <c r="Q721" i="12" s="1"/>
  <c r="P722" i="12"/>
  <c r="Q722" i="12" s="1"/>
  <c r="P723" i="12"/>
  <c r="Q723" i="12" s="1"/>
  <c r="P724" i="12"/>
  <c r="Q724" i="12" s="1"/>
  <c r="P725" i="12"/>
  <c r="Q725" i="12" s="1"/>
  <c r="P726" i="12"/>
  <c r="Q726" i="12" s="1"/>
  <c r="P727" i="12"/>
  <c r="Q727" i="12" s="1"/>
  <c r="P728" i="12"/>
  <c r="Q728" i="12" s="1"/>
  <c r="P729" i="12"/>
  <c r="Q729" i="12" s="1"/>
  <c r="P730" i="12"/>
  <c r="Q730" i="12" s="1"/>
  <c r="P731" i="12"/>
  <c r="Q731" i="12" s="1"/>
  <c r="P732" i="12"/>
  <c r="Q732" i="12" s="1"/>
  <c r="P733" i="12"/>
  <c r="Q733" i="12" s="1"/>
  <c r="P734" i="12"/>
  <c r="Q734" i="12" s="1"/>
  <c r="P735" i="12"/>
  <c r="Q735" i="12" s="1"/>
  <c r="P736" i="12"/>
  <c r="Q736" i="12" s="1"/>
  <c r="P737" i="12"/>
  <c r="Q737" i="12" s="1"/>
  <c r="P738" i="12"/>
  <c r="Q738" i="12" s="1"/>
  <c r="P739" i="12"/>
  <c r="Q739" i="12" s="1"/>
  <c r="P740" i="12"/>
  <c r="Q740" i="12" s="1"/>
  <c r="P741" i="12"/>
  <c r="Q741" i="12" s="1"/>
  <c r="P742" i="12"/>
  <c r="Q742" i="12" s="1"/>
  <c r="P743" i="12"/>
  <c r="Q743" i="12" s="1"/>
  <c r="P744" i="12"/>
  <c r="Q744" i="12" s="1"/>
  <c r="P745" i="12"/>
  <c r="Q745" i="12" s="1"/>
  <c r="P746" i="12"/>
  <c r="Q746" i="12" s="1"/>
  <c r="P747" i="12"/>
  <c r="Q747" i="12" s="1"/>
  <c r="P748" i="12"/>
  <c r="Q748" i="12" s="1"/>
  <c r="P749" i="12"/>
  <c r="Q749" i="12" s="1"/>
  <c r="P750" i="12"/>
  <c r="Q750" i="12" s="1"/>
  <c r="P751" i="12"/>
  <c r="Q751" i="12" s="1"/>
  <c r="P752" i="12"/>
  <c r="Q752" i="12" s="1"/>
  <c r="P753" i="12"/>
  <c r="Q753" i="12" s="1"/>
  <c r="P754" i="12"/>
  <c r="Q754" i="12" s="1"/>
  <c r="P755" i="12"/>
  <c r="Q755" i="12" s="1"/>
  <c r="P756" i="12"/>
  <c r="Q756" i="12" s="1"/>
  <c r="P757" i="12"/>
  <c r="Q757" i="12" s="1"/>
  <c r="P758" i="12"/>
  <c r="Q758" i="12" s="1"/>
  <c r="P759" i="12"/>
  <c r="Q759" i="12" s="1"/>
  <c r="P760" i="12"/>
  <c r="Q760" i="12" s="1"/>
  <c r="P761" i="12"/>
  <c r="Q761" i="12" s="1"/>
  <c r="P762" i="12"/>
  <c r="Q762" i="12" s="1"/>
  <c r="P763" i="12"/>
  <c r="Q763" i="12" s="1"/>
  <c r="P764" i="12"/>
  <c r="Q764" i="12" s="1"/>
  <c r="P765" i="12"/>
  <c r="Q765" i="12" s="1"/>
  <c r="P766" i="12"/>
  <c r="Q766" i="12" s="1"/>
  <c r="P767" i="12"/>
  <c r="Q767" i="12" s="1"/>
  <c r="P768" i="12"/>
  <c r="Q768" i="12" s="1"/>
  <c r="P769" i="12"/>
  <c r="Q769" i="12" s="1"/>
  <c r="P770" i="12"/>
  <c r="Q770" i="12" s="1"/>
  <c r="P771" i="12"/>
  <c r="Q771" i="12" s="1"/>
  <c r="P772" i="12"/>
  <c r="Q772" i="12" s="1"/>
  <c r="P773" i="12"/>
  <c r="Q773" i="12" s="1"/>
  <c r="P774" i="12"/>
  <c r="Q774" i="12" s="1"/>
  <c r="P775" i="12"/>
  <c r="Q775" i="12" s="1"/>
  <c r="P776" i="12"/>
  <c r="Q776" i="12" s="1"/>
  <c r="P777" i="12"/>
  <c r="Q777" i="12" s="1"/>
  <c r="P778" i="12"/>
  <c r="Q778" i="12" s="1"/>
  <c r="P779" i="12"/>
  <c r="Q779" i="12" s="1"/>
  <c r="P780" i="12"/>
  <c r="Q780" i="12" s="1"/>
  <c r="P781" i="12"/>
  <c r="Q781" i="12" s="1"/>
  <c r="P782" i="12"/>
  <c r="Q782" i="12" s="1"/>
  <c r="P783" i="12"/>
  <c r="Q783" i="12" s="1"/>
  <c r="P784" i="12"/>
  <c r="Q784" i="12" s="1"/>
  <c r="P785" i="12"/>
  <c r="Q785" i="12" s="1"/>
  <c r="P786" i="12"/>
  <c r="Q786" i="12" s="1"/>
  <c r="P787" i="12"/>
  <c r="Q787" i="12" s="1"/>
  <c r="P788" i="12"/>
  <c r="Q788" i="12" s="1"/>
  <c r="P789" i="12"/>
  <c r="Q789" i="12" s="1"/>
  <c r="P790" i="12"/>
  <c r="Q790" i="12" s="1"/>
  <c r="P791" i="12"/>
  <c r="Q791" i="12" s="1"/>
  <c r="P792" i="12"/>
  <c r="Q792" i="12" s="1"/>
  <c r="P793" i="12"/>
  <c r="Q793" i="12" s="1"/>
  <c r="P794" i="12"/>
  <c r="Q794" i="12" s="1"/>
  <c r="P795" i="12"/>
  <c r="Q795" i="12" s="1"/>
  <c r="P796" i="12"/>
  <c r="Q796" i="12" s="1"/>
  <c r="P797" i="12"/>
  <c r="Q797" i="12" s="1"/>
  <c r="P798" i="12"/>
  <c r="Q798" i="12" s="1"/>
  <c r="P799" i="12"/>
  <c r="Q799" i="12" s="1"/>
  <c r="P39" i="12" l="1"/>
  <c r="Q39" i="12" s="1"/>
  <c r="P40" i="12"/>
  <c r="Q40" i="12" s="1"/>
  <c r="P41" i="12"/>
  <c r="Q41" i="12" s="1"/>
  <c r="P42" i="12"/>
  <c r="Q42" i="12" s="1"/>
  <c r="P43" i="12"/>
  <c r="Q43" i="12" s="1"/>
  <c r="P44" i="12"/>
  <c r="Q44" i="12" s="1"/>
  <c r="P45" i="12"/>
  <c r="Q45" i="12" s="1"/>
  <c r="P46" i="12"/>
  <c r="Q46" i="12" s="1"/>
  <c r="P47" i="12"/>
  <c r="P48" i="12"/>
  <c r="Q48" i="12" s="1"/>
  <c r="P49" i="12"/>
  <c r="Q49" i="12" s="1"/>
  <c r="P50" i="12"/>
  <c r="Q50" i="12" s="1"/>
  <c r="P51" i="12"/>
  <c r="Q51" i="12" s="1"/>
  <c r="P52" i="12"/>
  <c r="Q52" i="12" s="1"/>
  <c r="P53" i="12"/>
  <c r="Q53" i="12" s="1"/>
  <c r="P54" i="12"/>
  <c r="Q54" i="12" s="1"/>
  <c r="P55" i="12"/>
  <c r="Q55" i="12" s="1"/>
  <c r="P56" i="12"/>
  <c r="Q56" i="12" s="1"/>
  <c r="P57" i="12"/>
  <c r="Q57" i="12" s="1"/>
  <c r="P58" i="12"/>
  <c r="Q58" i="12" s="1"/>
  <c r="P59" i="12"/>
  <c r="Q59" i="12" s="1"/>
  <c r="P60" i="12"/>
  <c r="Q60" i="12" s="1"/>
  <c r="P61" i="12"/>
  <c r="Q61" i="12" s="1"/>
  <c r="P62" i="12"/>
  <c r="Q62" i="12" s="1"/>
  <c r="P63" i="12"/>
  <c r="Q63" i="12" s="1"/>
  <c r="P64" i="12"/>
  <c r="Q64" i="12" s="1"/>
  <c r="P65" i="12"/>
  <c r="Q65" i="12" s="1"/>
  <c r="P66" i="12"/>
  <c r="Q66" i="12" s="1"/>
  <c r="P67" i="12"/>
  <c r="Q67" i="12" s="1"/>
  <c r="P68" i="12"/>
  <c r="Q68" i="12" s="1"/>
  <c r="P69" i="12"/>
  <c r="Q69" i="12" s="1"/>
  <c r="P70" i="12"/>
  <c r="Q70" i="12" s="1"/>
  <c r="P71" i="12"/>
  <c r="Q71" i="12" s="1"/>
  <c r="P72" i="12"/>
  <c r="Q72" i="12" s="1"/>
  <c r="P73" i="12"/>
  <c r="Q73" i="12" s="1"/>
  <c r="P74" i="12"/>
  <c r="Q74" i="12" s="1"/>
  <c r="P75" i="12"/>
  <c r="Q75" i="12" s="1"/>
  <c r="P76" i="12"/>
  <c r="Q76" i="12" s="1"/>
  <c r="P77" i="12"/>
  <c r="Q77" i="12" s="1"/>
  <c r="P78" i="12"/>
  <c r="Q78" i="12" s="1"/>
  <c r="P79" i="12"/>
  <c r="Q79" i="12" s="1"/>
  <c r="P80" i="12"/>
  <c r="Q80" i="12" s="1"/>
  <c r="P81" i="12"/>
  <c r="Q81" i="12" s="1"/>
  <c r="P82" i="12"/>
  <c r="Q82" i="12" s="1"/>
  <c r="P83" i="12"/>
  <c r="Q83" i="12" s="1"/>
  <c r="P84" i="12"/>
  <c r="Q84" i="12" s="1"/>
  <c r="P85" i="12"/>
  <c r="Q85" i="12" s="1"/>
  <c r="P86" i="12"/>
  <c r="Q86" i="12" s="1"/>
  <c r="P87" i="12"/>
  <c r="Q87" i="12" s="1"/>
  <c r="P88" i="12"/>
  <c r="Q88" i="12" s="1"/>
  <c r="P89" i="12"/>
  <c r="Q89" i="12" s="1"/>
  <c r="P90" i="12"/>
  <c r="Q90" i="12" s="1"/>
  <c r="P91" i="12"/>
  <c r="Q91" i="12" s="1"/>
  <c r="P92" i="12"/>
  <c r="Q92" i="12" s="1"/>
  <c r="P93" i="12"/>
  <c r="Q93" i="12" s="1"/>
  <c r="P94" i="12"/>
  <c r="Q94" i="12" s="1"/>
  <c r="P95" i="12"/>
  <c r="Q95" i="12" s="1"/>
  <c r="P96" i="12"/>
  <c r="Q96" i="12" s="1"/>
  <c r="P97" i="12"/>
  <c r="Q97" i="12" s="1"/>
  <c r="P98" i="12"/>
  <c r="Q98" i="12" s="1"/>
  <c r="P99" i="12"/>
  <c r="Q99" i="12" s="1"/>
  <c r="P100" i="12"/>
  <c r="Q100" i="12" s="1"/>
  <c r="P101" i="12"/>
  <c r="Q101" i="12" s="1"/>
  <c r="P102" i="12"/>
  <c r="Q102" i="12" s="1"/>
  <c r="P103" i="12"/>
  <c r="Q103" i="12" s="1"/>
  <c r="P104" i="12"/>
  <c r="Q104" i="12" s="1"/>
  <c r="P105" i="12"/>
  <c r="Q105" i="12" s="1"/>
  <c r="P106" i="12"/>
  <c r="Q106" i="12" s="1"/>
  <c r="P107" i="12"/>
  <c r="Q107" i="12" s="1"/>
  <c r="P108" i="12"/>
  <c r="Q108" i="12" s="1"/>
  <c r="P109" i="12"/>
  <c r="Q109" i="12" s="1"/>
  <c r="P110" i="12"/>
  <c r="Q110" i="12" s="1"/>
  <c r="P111" i="12"/>
  <c r="Q111" i="12" s="1"/>
  <c r="P112" i="12"/>
  <c r="Q112" i="12" s="1"/>
  <c r="P113" i="12"/>
  <c r="Q113" i="12" s="1"/>
  <c r="P114" i="12"/>
  <c r="Q114" i="12" s="1"/>
  <c r="P115" i="12"/>
  <c r="Q115" i="12" s="1"/>
  <c r="P116" i="12"/>
  <c r="Q116" i="12" s="1"/>
  <c r="P117" i="12"/>
  <c r="Q117" i="12" s="1"/>
  <c r="P118" i="12"/>
  <c r="Q118" i="12" s="1"/>
  <c r="P119" i="12"/>
  <c r="Q119" i="12" s="1"/>
  <c r="P120" i="12"/>
  <c r="Q120" i="12" s="1"/>
  <c r="P121" i="12"/>
  <c r="Q121" i="12" s="1"/>
  <c r="P122" i="12"/>
  <c r="Q122" i="12" s="1"/>
  <c r="P123" i="12"/>
  <c r="Q123" i="12" s="1"/>
  <c r="P124" i="12"/>
  <c r="Q124" i="12" s="1"/>
  <c r="P125" i="12"/>
  <c r="Q125" i="12" s="1"/>
  <c r="P126" i="12"/>
  <c r="Q126" i="12" s="1"/>
  <c r="P127" i="12"/>
  <c r="Q127" i="12" s="1"/>
  <c r="P128" i="12"/>
  <c r="Q128" i="12" s="1"/>
  <c r="P129" i="12"/>
  <c r="Q129" i="12" s="1"/>
  <c r="P130" i="12"/>
  <c r="Q130" i="12" s="1"/>
  <c r="P131" i="12"/>
  <c r="Q131" i="12" s="1"/>
  <c r="P132" i="12"/>
  <c r="Q132" i="12" s="1"/>
  <c r="P133" i="12"/>
  <c r="Q133" i="12" s="1"/>
  <c r="P134" i="12"/>
  <c r="Q134" i="12" s="1"/>
  <c r="P135" i="12"/>
  <c r="Q135" i="12" s="1"/>
  <c r="P136" i="12"/>
  <c r="Q136" i="12" s="1"/>
  <c r="P137" i="12"/>
  <c r="Q137" i="12" s="1"/>
  <c r="P138" i="12"/>
  <c r="Q138" i="12" s="1"/>
  <c r="P139" i="12"/>
  <c r="Q139" i="12" s="1"/>
  <c r="P140" i="12"/>
  <c r="Q140" i="12" s="1"/>
  <c r="P141" i="12"/>
  <c r="Q141" i="12" s="1"/>
  <c r="P142" i="12"/>
  <c r="Q142" i="12" s="1"/>
  <c r="P143" i="12"/>
  <c r="Q143" i="12" s="1"/>
  <c r="P144" i="12"/>
  <c r="Q144" i="12" s="1"/>
  <c r="P145" i="12"/>
  <c r="Q145" i="12" s="1"/>
  <c r="P146" i="12"/>
  <c r="Q146" i="12" s="1"/>
  <c r="P147" i="12"/>
  <c r="Q147" i="12" s="1"/>
  <c r="P148" i="12"/>
  <c r="Q148" i="12" s="1"/>
  <c r="P149" i="12"/>
  <c r="Q149" i="12" s="1"/>
  <c r="P150" i="12"/>
  <c r="Q150" i="12" s="1"/>
  <c r="P151" i="12"/>
  <c r="Q151" i="12" s="1"/>
  <c r="P152" i="12"/>
  <c r="Q152" i="12" s="1"/>
  <c r="P153" i="12"/>
  <c r="Q153" i="12" s="1"/>
  <c r="P154" i="12"/>
  <c r="Q154" i="12" s="1"/>
  <c r="P155" i="12"/>
  <c r="Q155" i="12" s="1"/>
  <c r="P156" i="12"/>
  <c r="Q156" i="12" s="1"/>
  <c r="P157" i="12"/>
  <c r="Q157" i="12" s="1"/>
  <c r="P158" i="12"/>
  <c r="Q158" i="12" s="1"/>
  <c r="P159" i="12"/>
  <c r="Q159" i="12" s="1"/>
  <c r="P160" i="12"/>
  <c r="Q160" i="12" s="1"/>
  <c r="P161" i="12"/>
  <c r="Q161" i="12" s="1"/>
  <c r="P162" i="12"/>
  <c r="Q162" i="12" s="1"/>
  <c r="P163" i="12"/>
  <c r="Q163" i="12" s="1"/>
  <c r="P164" i="12"/>
  <c r="Q164" i="12" s="1"/>
  <c r="P165" i="12"/>
  <c r="Q165" i="12" s="1"/>
  <c r="P166" i="12"/>
  <c r="Q166" i="12" s="1"/>
  <c r="P167" i="12"/>
  <c r="Q167" i="12" s="1"/>
  <c r="P168" i="12"/>
  <c r="Q168" i="12" s="1"/>
  <c r="P169" i="12"/>
  <c r="Q169" i="12" s="1"/>
  <c r="P170" i="12"/>
  <c r="Q170" i="12" s="1"/>
  <c r="P171" i="12"/>
  <c r="Q171" i="12" s="1"/>
  <c r="P172" i="12"/>
  <c r="Q172" i="12" s="1"/>
  <c r="P173" i="12"/>
  <c r="Q173" i="12" s="1"/>
  <c r="P174" i="12"/>
  <c r="Q174" i="12" s="1"/>
  <c r="P175" i="12"/>
  <c r="Q175" i="12" s="1"/>
  <c r="P176" i="12"/>
  <c r="Q176" i="12" s="1"/>
  <c r="P177" i="12"/>
  <c r="Q177" i="12" s="1"/>
  <c r="P178" i="12"/>
  <c r="Q178" i="12" s="1"/>
  <c r="P179" i="12"/>
  <c r="Q179" i="12" s="1"/>
  <c r="P180" i="12"/>
  <c r="Q180" i="12" s="1"/>
  <c r="P181" i="12"/>
  <c r="Q181" i="12" s="1"/>
  <c r="P182" i="12"/>
  <c r="Q182" i="12" s="1"/>
  <c r="P183" i="12"/>
  <c r="Q183" i="12" s="1"/>
  <c r="P184" i="12"/>
  <c r="Q184" i="12" s="1"/>
  <c r="P185" i="12"/>
  <c r="Q185" i="12" s="1"/>
  <c r="P186" i="12"/>
  <c r="Q186" i="12" s="1"/>
  <c r="P187" i="12"/>
  <c r="Q187" i="12" s="1"/>
  <c r="P188" i="12"/>
  <c r="Q188" i="12" s="1"/>
  <c r="P189" i="12"/>
  <c r="Q189" i="12" s="1"/>
  <c r="P190" i="12"/>
  <c r="Q190" i="12" s="1"/>
  <c r="Q47" i="12"/>
  <c r="P6" i="12" l="1"/>
  <c r="Q6" i="12" s="1"/>
  <c r="P7" i="12"/>
  <c r="Q7" i="12" s="1"/>
  <c r="P8" i="12"/>
  <c r="Q8" i="12" s="1"/>
  <c r="P9" i="12"/>
  <c r="Q9" i="12" s="1"/>
  <c r="P10" i="12"/>
  <c r="Q10" i="12" s="1"/>
  <c r="P11" i="12"/>
  <c r="Q11" i="12" s="1"/>
  <c r="P12" i="12"/>
  <c r="Q12" i="12" s="1"/>
  <c r="P13" i="12"/>
  <c r="Q13" i="12" s="1"/>
  <c r="P14" i="12"/>
  <c r="Q14" i="12" s="1"/>
  <c r="P15" i="12"/>
  <c r="Q15" i="12" s="1"/>
  <c r="P26" i="12"/>
  <c r="Q26" i="12" s="1"/>
  <c r="P27" i="12"/>
  <c r="Q27" i="12" s="1"/>
  <c r="P28" i="12"/>
  <c r="Q28" i="12" s="1"/>
  <c r="P29" i="12"/>
  <c r="Q29" i="12" s="1"/>
  <c r="P30" i="12"/>
  <c r="Q30" i="12" s="1"/>
  <c r="P31" i="12"/>
  <c r="Q31" i="12" s="1"/>
  <c r="P32" i="12"/>
  <c r="Q32" i="12" s="1"/>
  <c r="P33" i="12"/>
  <c r="Q33" i="12" s="1"/>
  <c r="P34" i="12"/>
  <c r="Q34" i="12" s="1"/>
  <c r="P35" i="12"/>
  <c r="Q35" i="12" s="1"/>
  <c r="P36" i="12"/>
  <c r="Q36" i="12" s="1"/>
  <c r="P37" i="12"/>
  <c r="Q37" i="12" s="1"/>
  <c r="P38" i="12"/>
  <c r="Q38" i="12" s="1"/>
  <c r="P3" i="12"/>
  <c r="Q3" i="12" s="1"/>
  <c r="P4" i="12"/>
  <c r="Q4" i="12" s="1"/>
  <c r="P5" i="12"/>
  <c r="Q5" i="12" s="1"/>
  <c r="P2" i="12" l="1"/>
  <c r="Q2" i="12" l="1"/>
  <c r="O8" i="14" s="1"/>
  <c r="A23" i="14" l="1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5" i="14"/>
  <c r="D14" i="14"/>
</calcChain>
</file>

<file path=xl/sharedStrings.xml><?xml version="1.0" encoding="utf-8"?>
<sst xmlns="http://schemas.openxmlformats.org/spreadsheetml/2006/main" count="1058" uniqueCount="622">
  <si>
    <t>1.1</t>
  </si>
  <si>
    <t>De vías tranviarias (ambas vías)</t>
  </si>
  <si>
    <t>ml</t>
  </si>
  <si>
    <t>1.2</t>
  </si>
  <si>
    <t>m2</t>
  </si>
  <si>
    <t>1.3.1</t>
  </si>
  <si>
    <t>1.3.2</t>
  </si>
  <si>
    <t>1.4.1</t>
  </si>
  <si>
    <t>0,12 m</t>
  </si>
  <si>
    <t>1.4.2</t>
  </si>
  <si>
    <t>0,18 m</t>
  </si>
  <si>
    <t>2.1</t>
  </si>
  <si>
    <t>m3</t>
  </si>
  <si>
    <t>2.2</t>
  </si>
  <si>
    <t>Saneamiento de suelos (sin provisión de R.A.P.)</t>
  </si>
  <si>
    <t>2.3</t>
  </si>
  <si>
    <t>Saneamiento de suelos (sin provisión de R.A.P.), a mano</t>
  </si>
  <si>
    <t>2.4</t>
  </si>
  <si>
    <t xml:space="preserve">Saneamiento con provisión de suelo seleccionado  </t>
  </si>
  <si>
    <t>2.5</t>
  </si>
  <si>
    <t>2.6</t>
  </si>
  <si>
    <t>3.1</t>
  </si>
  <si>
    <t>3.3.1</t>
  </si>
  <si>
    <t>3.3.2</t>
  </si>
  <si>
    <t>3.4</t>
  </si>
  <si>
    <t>4.1.1</t>
  </si>
  <si>
    <t>4.1.2</t>
  </si>
  <si>
    <t>4.1.3</t>
  </si>
  <si>
    <t>4.1.4</t>
  </si>
  <si>
    <t>4.2</t>
  </si>
  <si>
    <t>4.3.2</t>
  </si>
  <si>
    <t>5.1</t>
  </si>
  <si>
    <t>6.2</t>
  </si>
  <si>
    <t>6.3</t>
  </si>
  <si>
    <t>7.1</t>
  </si>
  <si>
    <t>Un.</t>
  </si>
  <si>
    <t>7.2</t>
  </si>
  <si>
    <t>8.1.1</t>
  </si>
  <si>
    <t>8.1.2</t>
  </si>
  <si>
    <t>8.1.3</t>
  </si>
  <si>
    <t>8.1.4</t>
  </si>
  <si>
    <t>8.2.1</t>
  </si>
  <si>
    <t>8.2.2</t>
  </si>
  <si>
    <t>8.2.3</t>
  </si>
  <si>
    <t>8.3.1</t>
  </si>
  <si>
    <t>8.3.2</t>
  </si>
  <si>
    <t>8.3.3</t>
  </si>
  <si>
    <t>8.3.4</t>
  </si>
  <si>
    <t>8.4.1</t>
  </si>
  <si>
    <t>8.4.2</t>
  </si>
  <si>
    <t>9.1</t>
  </si>
  <si>
    <t>9.2</t>
  </si>
  <si>
    <t>9.3</t>
  </si>
  <si>
    <t>10.1</t>
  </si>
  <si>
    <t>ton</t>
  </si>
  <si>
    <t>10.2</t>
  </si>
  <si>
    <t>10.3</t>
  </si>
  <si>
    <t>10.4</t>
  </si>
  <si>
    <t>3.2</t>
  </si>
  <si>
    <t>3.5</t>
  </si>
  <si>
    <t>4.2.1</t>
  </si>
  <si>
    <t>4.2.2</t>
  </si>
  <si>
    <t>4.3.1</t>
  </si>
  <si>
    <t>6.1.2</t>
  </si>
  <si>
    <t>8.4.3</t>
  </si>
  <si>
    <t>10.3.1</t>
  </si>
  <si>
    <t>10.3.2</t>
  </si>
  <si>
    <t>1.5.1</t>
  </si>
  <si>
    <t>1.5.2</t>
  </si>
  <si>
    <t>1.6.1</t>
  </si>
  <si>
    <t>1.6.2</t>
  </si>
  <si>
    <t>1.6.3</t>
  </si>
  <si>
    <t>1.7.1</t>
  </si>
  <si>
    <t>1.7.2</t>
  </si>
  <si>
    <t>3.2.1</t>
  </si>
  <si>
    <t>3.2.2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</si>
  <si>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</si>
  <si>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</si>
  <si>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</si>
  <si>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</si>
  <si>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</si>
  <si>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</si>
  <si>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</si>
  <si>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</si>
  <si>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</si>
  <si>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</si>
  <si>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</si>
  <si>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</si>
  <si>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</si>
  <si>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</si>
  <si>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</si>
  <si>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White Topping de espesor variable entre 0,10 m y 0,15 m</t>
  </si>
  <si>
    <t>4.3.1.1</t>
  </si>
  <si>
    <t>4.3.1.2</t>
  </si>
  <si>
    <t>4.3.3</t>
  </si>
  <si>
    <t>4.3.4</t>
  </si>
  <si>
    <t>4.3.5</t>
  </si>
  <si>
    <t>4.3.6</t>
  </si>
  <si>
    <t>4.3.7</t>
  </si>
  <si>
    <t>4.3.8</t>
  </si>
  <si>
    <t>4.4.1</t>
  </si>
  <si>
    <t>4.4.2</t>
  </si>
  <si>
    <t>4.4.3</t>
  </si>
  <si>
    <t>4.4.4</t>
  </si>
  <si>
    <t>4.4.5</t>
  </si>
  <si>
    <t>10.1.1</t>
  </si>
  <si>
    <t>10.1.2</t>
  </si>
  <si>
    <t>0,03 m - microcarpetas</t>
  </si>
  <si>
    <t>10.1.3.1</t>
  </si>
  <si>
    <t>10.1.3.2</t>
  </si>
  <si>
    <t>10.1.3.3</t>
  </si>
  <si>
    <t>10.1.3.4</t>
  </si>
  <si>
    <t>10.1.3.5</t>
  </si>
  <si>
    <t>10.1.3.6</t>
  </si>
  <si>
    <t>10.1.3.7</t>
  </si>
  <si>
    <t>10.1.3.8</t>
  </si>
  <si>
    <t>10.1.3.9</t>
  </si>
  <si>
    <t>10.1.3.10</t>
  </si>
  <si>
    <t>10.1.3.11</t>
  </si>
  <si>
    <t>10.1.3.12</t>
  </si>
  <si>
    <t>10.1.3.13</t>
  </si>
  <si>
    <t>10.1.3.14</t>
  </si>
  <si>
    <t>10.1.3.15</t>
  </si>
  <si>
    <t>10.1.3.16</t>
  </si>
  <si>
    <t>10.1.3.17</t>
  </si>
  <si>
    <t>10.1.3.18</t>
  </si>
  <si>
    <t>11.1</t>
  </si>
  <si>
    <t>N° de Orden</t>
  </si>
  <si>
    <t>Clase de Orden</t>
  </si>
  <si>
    <t>Texto Breve de Orden</t>
  </si>
  <si>
    <t>Inic. extr.</t>
  </si>
  <si>
    <t>Fin extr.</t>
  </si>
  <si>
    <t>Clase Actividad</t>
  </si>
  <si>
    <t>Pto.tbjo.responsable</t>
  </si>
  <si>
    <t>Area empresa</t>
  </si>
  <si>
    <t>Ubicación Técnica</t>
  </si>
  <si>
    <t>Denominación de la ubicación técnica</t>
  </si>
  <si>
    <t>Status Usuario Orden</t>
  </si>
  <si>
    <t>Clave de Modelo</t>
  </si>
  <si>
    <t>Descripcion Operación</t>
  </si>
  <si>
    <t>Unidad Medida</t>
  </si>
  <si>
    <t>Cantidad Realizada</t>
  </si>
  <si>
    <t>VxU</t>
  </si>
  <si>
    <t>Vtotal</t>
  </si>
  <si>
    <t>P5-1-Z01</t>
  </si>
  <si>
    <t>P5-1-Z06</t>
  </si>
  <si>
    <t>P5-1-Z05</t>
  </si>
  <si>
    <t>P5-1-Z08</t>
  </si>
  <si>
    <t>P5-1-Z09</t>
  </si>
  <si>
    <t>P5-1-Z02</t>
  </si>
  <si>
    <t>P5-2-Z07</t>
  </si>
  <si>
    <t>P5-2-Z05</t>
  </si>
  <si>
    <t>P5-2-Z13</t>
  </si>
  <si>
    <t>P5-2-Z15</t>
  </si>
  <si>
    <t>P5-2-Z01</t>
  </si>
  <si>
    <t>P5-2-Z12</t>
  </si>
  <si>
    <t>P5-2-Z06</t>
  </si>
  <si>
    <t>P5-2-Z11</t>
  </si>
  <si>
    <t>P5-2-Z09</t>
  </si>
  <si>
    <t>P5-2-Z08</t>
  </si>
  <si>
    <t>P5-2-Z14</t>
  </si>
  <si>
    <t>P5-2-Z10</t>
  </si>
  <si>
    <t>P5-2-Z03</t>
  </si>
  <si>
    <t>P5-2-Z02</t>
  </si>
  <si>
    <t>Clave Modelo</t>
  </si>
  <si>
    <t>Descripcion</t>
  </si>
  <si>
    <t>6.1.1</t>
  </si>
  <si>
    <t>P5-1-Z03</t>
  </si>
  <si>
    <t>P5-1-Z04</t>
  </si>
  <si>
    <t>P5-1-Z07</t>
  </si>
  <si>
    <t>P5-2-Z04</t>
  </si>
  <si>
    <t>De material asfáltico sobre granito o granitullo</t>
  </si>
  <si>
    <t>Hormigón</t>
  </si>
  <si>
    <t>Cualquier tipo</t>
  </si>
  <si>
    <t>Fresado entre 3 cm y 5 cm espesor promedio</t>
  </si>
  <si>
    <t>Fresado entre 6 cm y 10 cm espesor promedio</t>
  </si>
  <si>
    <t>Excavación de todo tipo no clasificada, incluido compactación, perfilado de rasante y carga con transporte</t>
  </si>
  <si>
    <t>Saneamiento con provisión de suelo seleccionado, a mano</t>
  </si>
  <si>
    <t>Saneamiento con provisión de suelo seleccionado y/o RAP (provisto por GCBA) con incorporación de cemento</t>
  </si>
  <si>
    <t xml:space="preserve">De suelo seleccionado (tosca) de espesor variable con provisión de suelo </t>
  </si>
  <si>
    <t>De R.A.P. (provisto por el GCBA) de espesor variable</t>
  </si>
  <si>
    <t>Menores a 10,00 m2</t>
  </si>
  <si>
    <t>Mayores a 10,00 m2</t>
  </si>
  <si>
    <t>De Mortero de densidad controlada de 3 Mpa a 5 Mpa</t>
  </si>
  <si>
    <t xml:space="preserve">           Amarillo</t>
  </si>
  <si>
    <t>Solados de Baldosas</t>
  </si>
  <si>
    <t>Solados especiales en distintas medidas</t>
  </si>
  <si>
    <t>De Hormigón peinado</t>
  </si>
  <si>
    <t>Bacheo  profundo</t>
  </si>
  <si>
    <t>Reductores de velocidad</t>
  </si>
  <si>
    <t>Lechada Asfáltica</t>
  </si>
  <si>
    <t>Estudio de Tránsito</t>
  </si>
  <si>
    <t>0.12 m</t>
  </si>
  <si>
    <t>0.18 m</t>
  </si>
  <si>
    <t>Menores a 10 m2</t>
  </si>
  <si>
    <t>Mayores a 10 m2</t>
  </si>
  <si>
    <t>De concreto asfáltico en espesor variable entre 0,05 m y 0,15 m</t>
  </si>
  <si>
    <t>De granito o granitullo. Utilización de los mismos mampuestos removidos en la demolición. Menores a 100 m2</t>
  </si>
  <si>
    <t>De granito o granitullo. Utilización de los mismos mampuestos removidos en la demolición. Mayores a 100 m2</t>
  </si>
  <si>
    <t>Adoquines (provistos por GCBA), incluyendo la selección, carga manual o mecánica  y traslado de los mismos desde el depósito designado hasta la obra (idem anterior). Menores a 100 m2</t>
  </si>
  <si>
    <t>Adoquines (provistos por GCBA), incluyendo la selección, carga manual o mecánica  y traslado de los mismos desde el depósito designado hasta la obra (idem anterior). Mayores a 100 m2</t>
  </si>
  <si>
    <t xml:space="preserve">0,20 m de espesor H 30 </t>
  </si>
  <si>
    <t>0,24 m de espesor H 30</t>
  </si>
  <si>
    <t>Hormigón armado recto, curvo o rebajado (emergente) H 30 y espesor 0,20 m</t>
  </si>
  <si>
    <t>Cordón cuneta de hormigón de 0,20 cm de H 30</t>
  </si>
  <si>
    <t>Zanjas u oquedades, mortero de densidad controlada 0,7 Mpa</t>
  </si>
  <si>
    <t>Cierre de aperturas de Servicios Públicos sin provisión de granito y/o granitullo</t>
  </si>
  <si>
    <t>Cierre de aperturas de Servicios Públicos con provisión de granito y/o granitullo</t>
  </si>
  <si>
    <t>Cierre de aperturas de Servicios Públicos con provisión de CA</t>
  </si>
  <si>
    <t>Cierre de aperturas de Servicios Públicos con provisión de H°</t>
  </si>
  <si>
    <t>Recalce y Nivelación de tapas en H°</t>
  </si>
  <si>
    <t>Recalce y Nivelación de tapas en Concreto Asfáltico</t>
  </si>
  <si>
    <t xml:space="preserve">           Blanca</t>
  </si>
  <si>
    <t xml:space="preserve">           Verde</t>
  </si>
  <si>
    <t xml:space="preserve">           Rojo</t>
  </si>
  <si>
    <t xml:space="preserve">           Azul </t>
  </si>
  <si>
    <t xml:space="preserve">           Tachas reflectivas</t>
  </si>
  <si>
    <t xml:space="preserve">           Tachas solares</t>
  </si>
  <si>
    <t xml:space="preserve">           Cordones premoldeados de hormigón</t>
  </si>
  <si>
    <t xml:space="preserve">           Delineadores</t>
  </si>
  <si>
    <t xml:space="preserve">            Provisión y montaje de bolardos de hormigón armado</t>
  </si>
  <si>
    <t xml:space="preserve">            Provisión y montaje de bolardos metálicos</t>
  </si>
  <si>
    <t xml:space="preserve">            Montaje y colocación de bolardos de cualquier tipo, sin provisión</t>
  </si>
  <si>
    <t>Arena - Asfalto hasta 0,03 m</t>
  </si>
  <si>
    <t>Bacheo profundo</t>
  </si>
  <si>
    <t>De fisuras para pavimentos asfálticos y de hormigón</t>
  </si>
  <si>
    <t>De juntas en pavimento de hormigón</t>
  </si>
  <si>
    <t>codigo</t>
  </si>
  <si>
    <t>Precio</t>
  </si>
  <si>
    <t>unid medida</t>
  </si>
  <si>
    <t>Estimado</t>
  </si>
  <si>
    <t>RENGLON</t>
  </si>
  <si>
    <t>EMPRESA</t>
  </si>
  <si>
    <t>EMPRESAR</t>
  </si>
  <si>
    <t>CODIGO EMPRESA</t>
  </si>
  <si>
    <t>R1</t>
  </si>
  <si>
    <t>C y E</t>
  </si>
  <si>
    <t>R1 - C y E</t>
  </si>
  <si>
    <t>R2</t>
  </si>
  <si>
    <t xml:space="preserve">CONCRET NOR </t>
  </si>
  <si>
    <t xml:space="preserve">R2 - CONCRET NOR </t>
  </si>
  <si>
    <t>R3</t>
  </si>
  <si>
    <t>INGEVIAL</t>
  </si>
  <si>
    <t>R3 - INGEVIAL</t>
  </si>
  <si>
    <t>R4</t>
  </si>
  <si>
    <t>FARALLON</t>
  </si>
  <si>
    <t>R4 - FARALLON</t>
  </si>
  <si>
    <t>R5</t>
  </si>
  <si>
    <t>MARCALBA</t>
  </si>
  <si>
    <t>R5 - MARCALBA</t>
  </si>
  <si>
    <t>R6</t>
  </si>
  <si>
    <t>POSE</t>
  </si>
  <si>
    <t>R6 - POSE</t>
  </si>
  <si>
    <t>R7</t>
  </si>
  <si>
    <t>COARCO</t>
  </si>
  <si>
    <t>R7 - COARCO</t>
  </si>
  <si>
    <t>R8</t>
  </si>
  <si>
    <t xml:space="preserve">PREDIAL </t>
  </si>
  <si>
    <t xml:space="preserve">R8 - PREDIAL </t>
  </si>
  <si>
    <t>R9</t>
  </si>
  <si>
    <t>CONSTRUMEX</t>
  </si>
  <si>
    <t>R9 - CONSTRUMEX</t>
  </si>
  <si>
    <t>R10</t>
  </si>
  <si>
    <t>BETTON SEPEYCO</t>
  </si>
  <si>
    <t>R10 - BETTON SEPEYCO</t>
  </si>
  <si>
    <t>R11</t>
  </si>
  <si>
    <t>ALTOTE</t>
  </si>
  <si>
    <t>R11 - ALTOTE</t>
  </si>
  <si>
    <t>R12</t>
  </si>
  <si>
    <t xml:space="preserve">TECNOVIAS </t>
  </si>
  <si>
    <t xml:space="preserve">R12 - TECNOVIAS </t>
  </si>
  <si>
    <t>R13</t>
  </si>
  <si>
    <t>R13 - ALTOTE</t>
  </si>
  <si>
    <t>R14</t>
  </si>
  <si>
    <t>R14 - BETTON SEPEYCO</t>
  </si>
  <si>
    <t>R15</t>
  </si>
  <si>
    <t>DA-FRE</t>
  </si>
  <si>
    <t>R15 - DA-FRE</t>
  </si>
  <si>
    <t>R16</t>
  </si>
  <si>
    <t>ALEMARSA</t>
  </si>
  <si>
    <t>R16 - ALEMARSA</t>
  </si>
  <si>
    <t>R17</t>
  </si>
  <si>
    <t>EVASA</t>
  </si>
  <si>
    <t>R17 - EVASA</t>
  </si>
  <si>
    <t>R18</t>
  </si>
  <si>
    <t>MIAVASA</t>
  </si>
  <si>
    <t>R18 - MIAVASA</t>
  </si>
  <si>
    <t>R19</t>
  </si>
  <si>
    <t>RJRT</t>
  </si>
  <si>
    <t>R19 - RJRT</t>
  </si>
  <si>
    <t>R20</t>
  </si>
  <si>
    <t>PMP-RICAVIAL</t>
  </si>
  <si>
    <t>R20 - PMP-RICAVIAL</t>
  </si>
  <si>
    <t>R21</t>
  </si>
  <si>
    <t>ILUBAIRES</t>
  </si>
  <si>
    <t>R21 - ILUBAIRES</t>
  </si>
  <si>
    <t>R22</t>
  </si>
  <si>
    <t xml:space="preserve">AVINCO </t>
  </si>
  <si>
    <t xml:space="preserve">R22 - AVINCO </t>
  </si>
  <si>
    <t>R23</t>
  </si>
  <si>
    <t xml:space="preserve">SEOB </t>
  </si>
  <si>
    <t xml:space="preserve">R23 - SEOB </t>
  </si>
  <si>
    <t>R24</t>
  </si>
  <si>
    <t>SACH</t>
  </si>
  <si>
    <t>R24 - SACH</t>
  </si>
  <si>
    <t xml:space="preserve">Estimado </t>
  </si>
  <si>
    <t>Instrucciones de uso Planilla Estimado Previal</t>
  </si>
  <si>
    <t>- Pararse en la tabla dinamica de abajo (Estimado) y luego ir a Analizar tabla dinámica en la barra superior y tocar el boton Actualizar.</t>
  </si>
  <si>
    <t>- Verificar que hayan quedado unicamente los registros del reporte a estimar y no algunos de reportes estimados anteriormente.</t>
  </si>
  <si>
    <t>- Copiar datos de reporte enviado a conformidad y pegar como valores desde el segundo registro y primer columna de la hoja BD de este archivo.</t>
  </si>
  <si>
    <t>m²</t>
  </si>
  <si>
    <t>Retiro de cordones premoldeados</t>
  </si>
  <si>
    <t>Provisión y colocación de Asfalto CA30</t>
  </si>
  <si>
    <t>Provisión y colocación de Asfalto modificado</t>
  </si>
  <si>
    <t>Bolardo tipo bala de fundición</t>
  </si>
  <si>
    <t>un</t>
  </si>
  <si>
    <t>1P6-001</t>
  </si>
  <si>
    <t>1P6-002</t>
  </si>
  <si>
    <t>1P6-003</t>
  </si>
  <si>
    <t>1P6-004</t>
  </si>
  <si>
    <t>1P6-005</t>
  </si>
  <si>
    <t>1P6-006</t>
  </si>
  <si>
    <t>1P6-007</t>
  </si>
  <si>
    <t>1P6-008</t>
  </si>
  <si>
    <t>Texturizado y/o fresado menor a 3 cm de espesor promedio</t>
  </si>
  <si>
    <t>1P6-009</t>
  </si>
  <si>
    <t>1P6-010</t>
  </si>
  <si>
    <t>1P6-011</t>
  </si>
  <si>
    <t>Fresado en 5 cm</t>
  </si>
  <si>
    <t>1P6-012</t>
  </si>
  <si>
    <t>Microfresado de calzada de hormigón</t>
  </si>
  <si>
    <t>1P6-013</t>
  </si>
  <si>
    <t>1P6-014</t>
  </si>
  <si>
    <t>1P6-015</t>
  </si>
  <si>
    <t>1P6-016</t>
  </si>
  <si>
    <t>Saneamiento con provisión de suelo seleccionado</t>
  </si>
  <si>
    <t>1P6-017</t>
  </si>
  <si>
    <t>1P6-018</t>
  </si>
  <si>
    <t>1P6-019</t>
  </si>
  <si>
    <t>De suelo seleccionado (tosca) de espesor variable con provisión de suelo</t>
  </si>
  <si>
    <t>1P6-020</t>
  </si>
  <si>
    <t>1P6-021</t>
  </si>
  <si>
    <t>De R.A.P con Cemento</t>
  </si>
  <si>
    <t>1P6-022</t>
  </si>
  <si>
    <t>1P6-023</t>
  </si>
  <si>
    <t>1P6-024</t>
  </si>
  <si>
    <t>1P6-025</t>
  </si>
  <si>
    <t>1P6-026</t>
  </si>
  <si>
    <t>0,20 m de espesor H 30. Mayores a 100,00 m2</t>
  </si>
  <si>
    <t>1P6-027</t>
  </si>
  <si>
    <t>0,20 m de espesor H 30. Menores a 100,00 m2</t>
  </si>
  <si>
    <t>1P6-028</t>
  </si>
  <si>
    <t>0,24 m de espesor H 30. Mayores a 100,00 m2</t>
  </si>
  <si>
    <t>1P6-029</t>
  </si>
  <si>
    <t>0,24 m de espesor H 30. Menores a 100,00 m2</t>
  </si>
  <si>
    <t>1P6-030</t>
  </si>
  <si>
    <t>0,27 m de espesor H 30. Mayores a 100,00 m2</t>
  </si>
  <si>
    <t>1P6-031</t>
  </si>
  <si>
    <t>0,27 m de espesor H 30. Menores a 100,00 m2</t>
  </si>
  <si>
    <t>1P6-032</t>
  </si>
  <si>
    <t>0,27 m de espesor, H°30 color. Mayores a 100,00 m2</t>
  </si>
  <si>
    <t>1P6-033</t>
  </si>
  <si>
    <t>0,27 m de espesor, H°30 color. Menores a 100,00 m2</t>
  </si>
  <si>
    <t>1P6-034</t>
  </si>
  <si>
    <t>0,20 m de espesor H 38. Mayores a 100,00 m2</t>
  </si>
  <si>
    <t>1P6-035</t>
  </si>
  <si>
    <t>0,20 m de espesor H 38. Menores a 100,00 m2</t>
  </si>
  <si>
    <t>1P6-036</t>
  </si>
  <si>
    <t>0,24 m de espesor H 38. Mayores a 100,00 m2</t>
  </si>
  <si>
    <t>1P6-037</t>
  </si>
  <si>
    <t>0,24 m de espesor H 38. Menores a 100,00 m2</t>
  </si>
  <si>
    <t>1P6-038</t>
  </si>
  <si>
    <t>0,27 m de espesor H 38. Mayores a 100,00 m2</t>
  </si>
  <si>
    <t>1P6-039</t>
  </si>
  <si>
    <t>0,27 m de espesor H 38. Menores a 100,00 m2</t>
  </si>
  <si>
    <t>1P6-040</t>
  </si>
  <si>
    <t>0,27 m de espesor, H°38 color. Mayores a 100,00 m2</t>
  </si>
  <si>
    <t>1P6-041</t>
  </si>
  <si>
    <t>0,27 m de espesor, H°38 color. Menores a 100,00 m2</t>
  </si>
  <si>
    <t>1P6-042</t>
  </si>
  <si>
    <t>Hormigón Fast Track</t>
  </si>
  <si>
    <t>1P6-043</t>
  </si>
  <si>
    <t>Articulados</t>
  </si>
  <si>
    <t>1P6-044</t>
  </si>
  <si>
    <t>Articulados color</t>
  </si>
  <si>
    <t>1P6-045</t>
  </si>
  <si>
    <t>0,20 m de espesor H 30. Mayores a 50,00 m2</t>
  </si>
  <si>
    <t>1P6-046</t>
  </si>
  <si>
    <t>0,20 m de espesor H 30. Menores a 50,00 m2</t>
  </si>
  <si>
    <t>1P6-047</t>
  </si>
  <si>
    <t>1P6-048</t>
  </si>
  <si>
    <t>0,27 m de espesor H 30</t>
  </si>
  <si>
    <t>1P6-049</t>
  </si>
  <si>
    <t>0,20 m de espesor H 30, de lecho rebajado y ancho variable</t>
  </si>
  <si>
    <t>1P6-050</t>
  </si>
  <si>
    <t>0,20 m de espesor H 38, de lecho rebajado y ancho variable</t>
  </si>
  <si>
    <t>1P6-051</t>
  </si>
  <si>
    <t>0,24 m de espesor H 30, de lecho rebajado y ancho variable</t>
  </si>
  <si>
    <t>1P6-052</t>
  </si>
  <si>
    <t>0,27 m de espesor H 30 y/ó lecho rebajado y ancho variable</t>
  </si>
  <si>
    <t>1P6-053</t>
  </si>
  <si>
    <t>0,27 m de espesor H 38 y/ó lecho rebajado y ancho variable</t>
  </si>
  <si>
    <t>1P6-054</t>
  </si>
  <si>
    <t>1P6-055</t>
  </si>
  <si>
    <t>Cordón cuneta de hormigón de 0,20 m de H 30</t>
  </si>
  <si>
    <t>1P6-056</t>
  </si>
  <si>
    <t>Cordón cuneta de hormigón de 0,27 m de H 30</t>
  </si>
  <si>
    <t>1P6-057</t>
  </si>
  <si>
    <t>Cordón cuneta de hormigón de 0,20 m de H 38</t>
  </si>
  <si>
    <t>1P6-058</t>
  </si>
  <si>
    <t>Cordón cuneta de hormigón de 0,27 m de H 38</t>
  </si>
  <si>
    <t>1P6-059</t>
  </si>
  <si>
    <t>4.5.1</t>
  </si>
  <si>
    <t>De granito o granitullo. Utilización de los mismos mampuestos removidos en la demolición. Mayores a 250 m2</t>
  </si>
  <si>
    <t>1P6-060</t>
  </si>
  <si>
    <t>4.5.2</t>
  </si>
  <si>
    <t>Adoquines (provistos por GCBA), incluyendo la selección, carga manual o mecánica  y traslado de los mismos desde el depósito designado hasta la obra (idem anterior). Mayores a 250 m2</t>
  </si>
  <si>
    <t>1P6-061</t>
  </si>
  <si>
    <t>1P6-062</t>
  </si>
  <si>
    <t>1P6-063</t>
  </si>
  <si>
    <t>1P6-064</t>
  </si>
  <si>
    <t>1P6-065</t>
  </si>
  <si>
    <t>1P6-066</t>
  </si>
  <si>
    <t>1P6-067</t>
  </si>
  <si>
    <t>1P6-068</t>
  </si>
  <si>
    <t>Blanco</t>
  </si>
  <si>
    <t>1P6-069</t>
  </si>
  <si>
    <t>Amarillo</t>
  </si>
  <si>
    <t>1P6-070</t>
  </si>
  <si>
    <t>Verde</t>
  </si>
  <si>
    <t>1P6-071</t>
  </si>
  <si>
    <t>Rojo</t>
  </si>
  <si>
    <t>1P6-072</t>
  </si>
  <si>
    <t>Blanca</t>
  </si>
  <si>
    <t>1P6-073</t>
  </si>
  <si>
    <t>Azul</t>
  </si>
  <si>
    <t>1P6-074</t>
  </si>
  <si>
    <t>1P6-075</t>
  </si>
  <si>
    <t>Tachas reflectivas</t>
  </si>
  <si>
    <t>1P6-076</t>
  </si>
  <si>
    <t>achas solares</t>
  </si>
  <si>
    <t>1P6-077</t>
  </si>
  <si>
    <t>Delineadores</t>
  </si>
  <si>
    <t>1P6-078</t>
  </si>
  <si>
    <t>Con pintura negra</t>
  </si>
  <si>
    <t>1P6-079</t>
  </si>
  <si>
    <t>Por fresado</t>
  </si>
  <si>
    <t>1P6-080</t>
  </si>
  <si>
    <t>1P6-081</t>
  </si>
  <si>
    <t>1P6-082</t>
  </si>
  <si>
    <t>1P6-083</t>
  </si>
  <si>
    <t>1P6-084</t>
  </si>
  <si>
    <t>1P6-085</t>
  </si>
  <si>
    <t>CAC D20  CA30. Mayores a 200,00 m2</t>
  </si>
  <si>
    <t>1P6-086</t>
  </si>
  <si>
    <t>CAC D20  CA30. Menores a 200,00 m2</t>
  </si>
  <si>
    <t>1P6-087</t>
  </si>
  <si>
    <t>SMA 10</t>
  </si>
  <si>
    <t>1P6-088</t>
  </si>
  <si>
    <t>SMA 19</t>
  </si>
  <si>
    <t>1P6-089</t>
  </si>
  <si>
    <t>CAC D20 con asfalto modificado</t>
  </si>
  <si>
    <t>1P6-090</t>
  </si>
  <si>
    <t>Concreto Asfáltico Denso con asfalto sintético color</t>
  </si>
  <si>
    <t>1P6-091</t>
  </si>
  <si>
    <t>CAC D20 reciclado</t>
  </si>
  <si>
    <t>1P6-092</t>
  </si>
  <si>
    <t>SMA 10 reciclado</t>
  </si>
  <si>
    <t>1P6-093</t>
  </si>
  <si>
    <t>SMA 19 reciclado</t>
  </si>
  <si>
    <t>1P6-094</t>
  </si>
  <si>
    <t>CAC D20 reciclado con asfalto modificado</t>
  </si>
  <si>
    <t>1P6-095</t>
  </si>
  <si>
    <t>CAC D20 tibio</t>
  </si>
  <si>
    <t>1P6-096</t>
  </si>
  <si>
    <t>SMA 10 tibio</t>
  </si>
  <si>
    <t>1P6-097</t>
  </si>
  <si>
    <t>SMA 19 tibio</t>
  </si>
  <si>
    <t>1P6-098</t>
  </si>
  <si>
    <t>CAC D20 tibio con asfalto modificado</t>
  </si>
  <si>
    <t>1P6-099</t>
  </si>
  <si>
    <t>CAC D20 reciclado tibio</t>
  </si>
  <si>
    <t>1P6-100</t>
  </si>
  <si>
    <t>SMA 10 reciclado tibio</t>
  </si>
  <si>
    <t>1P6-101</t>
  </si>
  <si>
    <t>SMA 19 reciclado tibio</t>
  </si>
  <si>
    <t>1P6-102</t>
  </si>
  <si>
    <t>CAC D20 reciclado tibio con asfalto modificado</t>
  </si>
  <si>
    <t>1P6-103</t>
  </si>
  <si>
    <t>1P6-104</t>
  </si>
  <si>
    <t>1P6-105</t>
  </si>
  <si>
    <t>1P6-106</t>
  </si>
  <si>
    <t>1P6-107</t>
  </si>
  <si>
    <t>12.1</t>
  </si>
  <si>
    <t>1P6-108</t>
  </si>
  <si>
    <t>12.2</t>
  </si>
  <si>
    <t>Provisión y colocación de Codones premoldeados</t>
  </si>
  <si>
    <t>1P6-109</t>
  </si>
  <si>
    <t>12.3</t>
  </si>
  <si>
    <t>Cordones plásticos doble montante - ML  Separador S400-100 ( 25x40x10 cm)</t>
  </si>
  <si>
    <t>1P6-110</t>
  </si>
  <si>
    <t>2P6-001</t>
  </si>
  <si>
    <t>2P6-002</t>
  </si>
  <si>
    <t>2P6-003</t>
  </si>
  <si>
    <t>2P6-004</t>
  </si>
  <si>
    <t>2P6-005</t>
  </si>
  <si>
    <t>2P6-006</t>
  </si>
  <si>
    <t>1.4.3</t>
  </si>
  <si>
    <t>Demolicion de Calzada</t>
  </si>
  <si>
    <t>2P6-007</t>
  </si>
  <si>
    <t>2P6-008</t>
  </si>
  <si>
    <t>2P6-009</t>
  </si>
  <si>
    <t>2P6-010</t>
  </si>
  <si>
    <t>2P6-011</t>
  </si>
  <si>
    <t>2P6-012</t>
  </si>
  <si>
    <t>2P6-013</t>
  </si>
  <si>
    <t>2P6-014</t>
  </si>
  <si>
    <t>2P6-015</t>
  </si>
  <si>
    <t>2P6-016</t>
  </si>
  <si>
    <t>2P6-017</t>
  </si>
  <si>
    <t>2P6-018</t>
  </si>
  <si>
    <t>2P6-019</t>
  </si>
  <si>
    <t>De granito o granitullo. Utilización de los mismos mampuestos removidos en la demolición. Menores a 250 m2</t>
  </si>
  <si>
    <t>2P6-020</t>
  </si>
  <si>
    <t>Adoquines (provistos por GCBA), incluyendo la selección, carga manual o mecánica  y traslado de los mismos desde el depósito designado hasta la obra (idem anterior). Menores a 250 m2</t>
  </si>
  <si>
    <t>2P6-021</t>
  </si>
  <si>
    <t>2P6-022</t>
  </si>
  <si>
    <t>2P6-023</t>
  </si>
  <si>
    <t>2P6-024</t>
  </si>
  <si>
    <t>2P6-025</t>
  </si>
  <si>
    <t>2P6-026</t>
  </si>
  <si>
    <t>2P6-027</t>
  </si>
  <si>
    <t>2P6-028</t>
  </si>
  <si>
    <t>2P6-029</t>
  </si>
  <si>
    <t>2P6-030</t>
  </si>
  <si>
    <t>2P6-031</t>
  </si>
  <si>
    <t>2P6-032</t>
  </si>
  <si>
    <t>2P6-033</t>
  </si>
  <si>
    <t>2P6-034</t>
  </si>
  <si>
    <t>2P6-035</t>
  </si>
  <si>
    <t>2P6-036</t>
  </si>
  <si>
    <t>2P6-037</t>
  </si>
  <si>
    <t>2P6-038</t>
  </si>
  <si>
    <t>2P6-039</t>
  </si>
  <si>
    <t>2P6-040</t>
  </si>
  <si>
    <t>2P6-041</t>
  </si>
  <si>
    <t>2P6-042</t>
  </si>
  <si>
    <t>2P6-043</t>
  </si>
  <si>
    <t>2P6-044</t>
  </si>
  <si>
    <t>2P6-045</t>
  </si>
  <si>
    <t>2P6-046</t>
  </si>
  <si>
    <t>2P6-047</t>
  </si>
  <si>
    <t>2P6-048</t>
  </si>
  <si>
    <t>2P6-049</t>
  </si>
  <si>
    <t>2P6-050</t>
  </si>
  <si>
    <t>2P6-051</t>
  </si>
  <si>
    <t>2P6-052</t>
  </si>
  <si>
    <t>2P6-053</t>
  </si>
  <si>
    <t>2P6-054</t>
  </si>
  <si>
    <t>11.2</t>
  </si>
  <si>
    <t>Fresado de Material asfaltico5 cm</t>
  </si>
  <si>
    <t>2P6-055</t>
  </si>
  <si>
    <t>11.3</t>
  </si>
  <si>
    <t>2P6-056</t>
  </si>
  <si>
    <t>11.4</t>
  </si>
  <si>
    <t>2P6-057</t>
  </si>
  <si>
    <t>11.5</t>
  </si>
  <si>
    <t>Levantamiento y recolocacion de pavimento articulado</t>
  </si>
  <si>
    <t>2P6-058</t>
  </si>
  <si>
    <t>11.6</t>
  </si>
  <si>
    <t>2P6-059</t>
  </si>
  <si>
    <t>11.7</t>
  </si>
  <si>
    <t>2P6-060</t>
  </si>
  <si>
    <t>11.8</t>
  </si>
  <si>
    <t>2P6-061</t>
  </si>
  <si>
    <t>11.9</t>
  </si>
  <si>
    <t xml:space="preserve">Provisión de vallas delimitadora de plástico amarillo </t>
  </si>
  <si>
    <t>2P6-062</t>
  </si>
  <si>
    <t>11.10</t>
  </si>
  <si>
    <t>Provisión de vallas delimitadora de plástico amarilo con balisas luminicas</t>
  </si>
  <si>
    <t>2P6-063</t>
  </si>
  <si>
    <t>11.11</t>
  </si>
  <si>
    <t xml:space="preserve">Provisión de valla delimitadora metálicas en color amarillo </t>
  </si>
  <si>
    <t>2P6-064</t>
  </si>
  <si>
    <t>11.12</t>
  </si>
  <si>
    <t>Provisión de valla delimitadora metálicas en color amarilo con balisas luminicas</t>
  </si>
  <si>
    <t>2P6-065</t>
  </si>
  <si>
    <t>Indice</t>
  </si>
  <si>
    <t>P6_1_Z01</t>
  </si>
  <si>
    <t>P6_1_Z02</t>
  </si>
  <si>
    <t>P6_1_Z03</t>
  </si>
  <si>
    <t>P6_1_Z04</t>
  </si>
  <si>
    <t>P6_1_Z05</t>
  </si>
  <si>
    <t>P6_1_Z06</t>
  </si>
  <si>
    <t>P6_1_Z07</t>
  </si>
  <si>
    <t>P6_1_Z08</t>
  </si>
  <si>
    <t>P6_2_Z01</t>
  </si>
  <si>
    <t>P6_2_Z02</t>
  </si>
  <si>
    <t>P6_2_Z03</t>
  </si>
  <si>
    <t>P6_2_Z04</t>
  </si>
  <si>
    <t>P6_2_Z05</t>
  </si>
  <si>
    <t>P6_2_Z06</t>
  </si>
  <si>
    <t>P6_2_Z07</t>
  </si>
  <si>
    <t>P6_2_Z08</t>
  </si>
  <si>
    <t>P6_2_Z09</t>
  </si>
  <si>
    <t>P6_2_Z10</t>
  </si>
  <si>
    <t>P6_2_Z11</t>
  </si>
  <si>
    <t>P6_2_Z12</t>
  </si>
  <si>
    <t>P6_2_Z13</t>
  </si>
  <si>
    <t>P6_2_Z14</t>
  </si>
  <si>
    <t>Etiquetas de fila</t>
  </si>
  <si>
    <t>Total general</t>
  </si>
  <si>
    <t>(en blanco)</t>
  </si>
  <si>
    <t>C04</t>
  </si>
  <si>
    <t>C13</t>
  </si>
  <si>
    <t>C12</t>
  </si>
  <si>
    <t>C03</t>
  </si>
  <si>
    <t>C02</t>
  </si>
  <si>
    <t>C01</t>
  </si>
  <si>
    <t>C11</t>
  </si>
  <si>
    <t>C10</t>
  </si>
  <si>
    <t>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</si>
</sst>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 &quot;$&quot;\ * #,##0.00_ ;_ &quot;$&quot;\ * \-#,##0.00_ ;_ &quot;$&quot;\ * &quot;-&quot;??_ ;_ @_ "/>
    <numFmt numFmtId="166" formatCode="#,##0.000"/>
    <numFmt numFmtId="167" formatCode="&quot;$&quot;\ #,##0.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7" applyNumberFormat="0" applyAlignment="0" applyProtection="0"/>
    <xf numFmtId="0" fontId="11" fillId="7" borderId="8" applyNumberFormat="0" applyAlignment="0" applyProtection="0"/>
    <xf numFmtId="0" fontId="12" fillId="7" borderId="7" applyNumberFormat="0" applyAlignment="0" applyProtection="0"/>
    <xf numFmtId="0" fontId="13" fillId="0" borderId="9" applyNumberFormat="0" applyFill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2" fillId="9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4" fontId="18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4" fontId="19" fillId="0" borderId="0"/>
    <xf numFmtId="164" fontId="2" fillId="0" borderId="0" applyFont="0" applyFill="0" applyBorder="0" applyAlignment="0" applyProtection="0"/>
    <xf numFmtId="0" fontId="18" fillId="0" borderId="0"/>
    <xf numFmtId="0" fontId="19" fillId="0" borderId="0"/>
    <xf numFmtId="44" fontId="2" fillId="0" borderId="0" applyFont="0" applyFill="0" applyBorder="0" applyAlignment="0" applyProtection="0"/>
    <xf numFmtId="0" fontId="20" fillId="0" borderId="0"/>
    <xf numFmtId="0" fontId="21" fillId="0" borderId="0"/>
  </cellStyleXfs>
  <cellXfs count="45">
    <xf numFmtId="0" fontId="0" fillId="0" borderId="0" xfId="0"/>
    <xf numFmtId="0" fontId="0" fillId="2" borderId="3" xfId="0" applyFill="1" applyBorder="1" applyAlignment="1">
      <alignment horizontal="center"/>
    </xf>
    <xf numFmtId="0" fontId="0" fillId="0" borderId="0" xfId="0" applyAlignment="1">
      <alignment vertical="top"/>
    </xf>
    <xf numFmtId="4" fontId="0" fillId="35" borderId="0" xfId="0" applyNumberFormat="1" applyFill="1"/>
    <xf numFmtId="0" fontId="0" fillId="35" borderId="0" xfId="0" applyFill="1"/>
    <xf numFmtId="14" fontId="0" fillId="0" borderId="0" xfId="0" applyNumberFormat="1" applyAlignment="1">
      <alignment horizontal="right" vertical="top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13" xfId="0" applyFill="1" applyBorder="1" applyAlignment="1">
      <alignment horizontal="center"/>
    </xf>
    <xf numFmtId="0" fontId="0" fillId="0" borderId="2" xfId="0" applyBorder="1" applyAlignment="1">
      <alignment wrapText="1"/>
    </xf>
    <xf numFmtId="4" fontId="0" fillId="0" borderId="0" xfId="0" applyNumberFormat="1"/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0" xfId="50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18" fillId="35" borderId="14" xfId="48" applyFill="1" applyBorder="1" applyAlignment="1">
      <alignment vertical="top"/>
    </xf>
    <xf numFmtId="166" fontId="0" fillId="0" borderId="0" xfId="0" applyNumberFormat="1" applyAlignment="1">
      <alignment horizontal="right" vertical="top"/>
    </xf>
    <xf numFmtId="49" fontId="0" fillId="0" borderId="0" xfId="0" applyNumberFormat="1"/>
    <xf numFmtId="0" fontId="0" fillId="34" borderId="1" xfId="0" applyFill="1" applyBorder="1" applyAlignment="1">
      <alignment vertical="top"/>
    </xf>
    <xf numFmtId="0" fontId="0" fillId="34" borderId="1" xfId="0" applyFill="1" applyBorder="1" applyAlignment="1">
      <alignment vertical="top" wrapText="1"/>
    </xf>
    <xf numFmtId="0" fontId="1" fillId="0" borderId="0" xfId="0" applyFont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1" xfId="0" applyBorder="1"/>
    <xf numFmtId="0" fontId="1" fillId="0" borderId="17" xfId="0" applyFont="1" applyBorder="1" applyAlignment="1">
      <alignment horizontal="center" vertical="center"/>
    </xf>
    <xf numFmtId="4" fontId="0" fillId="0" borderId="19" xfId="0" applyNumberFormat="1" applyBorder="1"/>
    <xf numFmtId="0" fontId="0" fillId="0" borderId="19" xfId="0" applyBorder="1"/>
    <xf numFmtId="0" fontId="0" fillId="0" borderId="22" xfId="0" applyBorder="1"/>
    <xf numFmtId="0" fontId="0" fillId="36" borderId="1" xfId="0" applyFill="1" applyBorder="1" applyAlignment="1">
      <alignment vertical="top"/>
    </xf>
    <xf numFmtId="14" fontId="0" fillId="36" borderId="1" xfId="0" applyNumberFormat="1" applyFill="1" applyBorder="1" applyAlignment="1">
      <alignment horizontal="right" vertical="top"/>
    </xf>
    <xf numFmtId="166" fontId="0" fillId="36" borderId="1" xfId="0" applyNumberFormat="1" applyFill="1" applyBorder="1" applyAlignment="1">
      <alignment horizontal="right" vertical="top"/>
    </xf>
    <xf numFmtId="0" fontId="0" fillId="37" borderId="1" xfId="0" applyFill="1" applyBorder="1" applyAlignment="1">
      <alignment vertical="top"/>
    </xf>
    <xf numFmtId="14" fontId="0" fillId="37" borderId="1" xfId="0" applyNumberFormat="1" applyFill="1" applyBorder="1" applyAlignment="1">
      <alignment horizontal="right" vertical="top"/>
    </xf>
    <xf numFmtId="166" fontId="0" fillId="37" borderId="1" xfId="0" applyNumberFormat="1" applyFill="1" applyBorder="1" applyAlignment="1">
      <alignment horizontal="right" vertical="top"/>
    </xf>
    <xf numFmtId="0" fontId="0" fillId="35" borderId="0" xfId="0" applyNumberFormat="1" applyFill="1"/>
  </cellXfs>
  <cellStyles count="5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50" builtinId="4"/>
    <cellStyle name="Moneda 2" xfId="43" xr:uid="{00000000-0005-0000-0000-000021000000}"/>
    <cellStyle name="Moneda 3" xfId="47" xr:uid="{00000000-0005-0000-0000-000022000000}"/>
    <cellStyle name="Neutral" xfId="8" builtinId="28" customBuiltin="1"/>
    <cellStyle name="Normal" xfId="0" builtinId="0"/>
    <cellStyle name="Normal 10" xfId="44" xr:uid="{00000000-0005-0000-0000-000025000000}"/>
    <cellStyle name="Normal 2" xfId="45" xr:uid="{00000000-0005-0000-0000-000026000000}"/>
    <cellStyle name="Normal 3" xfId="42" xr:uid="{00000000-0005-0000-0000-000027000000}"/>
    <cellStyle name="Normal 3 2" xfId="46" xr:uid="{00000000-0005-0000-0000-000028000000}"/>
    <cellStyle name="Normal 4" xfId="48" xr:uid="{00000000-0005-0000-0000-000029000000}"/>
    <cellStyle name="Normal 4 2" xfId="49" xr:uid="{00000000-0005-0000-0000-00002A000000}"/>
    <cellStyle name="Normal 5" xfId="51" xr:uid="{00000000-0005-0000-0000-00002B000000}"/>
    <cellStyle name="Normal 6" xfId="52" xr:uid="{00000000-0005-0000-0000-00002C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4" formatCode="#,##0.00"/>
      <fill>
        <patternFill patternType="solid">
          <fgColor indexed="64"/>
          <bgColor theme="5" tint="0.59999389629810485"/>
        </patternFill>
      </fill>
    </dxf>
    <dxf>
      <numFmt numFmtId="166" formatCode="#,##0.00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8" formatCode="m/d/yyyy"/>
      <alignment horizontal="right" vertical="top" textRotation="0" wrapText="0" indent="0" justifyLastLine="0" shrinkToFit="0" readingOrder="0"/>
    </dxf>
    <dxf>
      <numFmt numFmtId="168" formatCode="m/d/yyyy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e" refreshedDate="46288.442420023151" createdVersion="7" refreshedVersion="8" minRefreshableVersion="3" recordCount="812" xr:uid="{00000000-000A-0000-FFFF-FFFF04000000}">
  <cacheSource type="worksheet">
    <worksheetSource name="Tabla1"/>
  </cacheSource>
  <cacheFields count="17">
    <cacheField name="N° de Orden" numFmtId="0">
      <sharedItems containsBlank="1"/>
    </cacheField>
    <cacheField name="Clase de Orden" numFmtId="0">
      <sharedItems containsBlank="1"/>
    </cacheField>
    <cacheField name="Texto Breve de Orden" numFmtId="0">
      <sharedItems containsBlank="1"/>
    </cacheField>
    <cacheField name="Inic. extr." numFmtId="14">
      <sharedItems containsNonDate="0" containsDate="1" containsString="0" containsBlank="1" minDate="2026-08-01T00:00:00" maxDate="2026-08-02T00:00:00"/>
    </cacheField>
    <cacheField name="Fin extr." numFmtId="14">
      <sharedItems containsNonDate="0" containsDate="1" containsString="0" containsBlank="1" minDate="2026-08-31T00:00:00" maxDate="2026-09-01T00:00:00"/>
    </cacheField>
    <cacheField name="Clase Actividad" numFmtId="0">
      <sharedItems containsBlank="1"/>
    </cacheField>
    <cacheField name="Area empresa" numFmtId="0">
      <sharedItems containsBlank="1" count="17">
        <s v="C13"/>
        <s v="C12"/>
        <s v="C03"/>
        <s v="C02"/>
        <s v=""/>
        <s v="C04"/>
        <s v="C01"/>
        <s v="C11"/>
        <s v="C10"/>
        <s v="C06"/>
        <m/>
        <s v="C07" u="1"/>
        <s v="C14" u="1"/>
        <s v="C05" u="1"/>
        <s v="C09" u="1"/>
        <s v="C08" u="1"/>
        <s v="C15" u="1"/>
      </sharedItems>
    </cacheField>
    <cacheField name="Pto.tbjo.responsable" numFmtId="0">
      <sharedItems containsBlank="1" count="38">
        <s v="P6_2_Z10"/>
        <s v=""/>
        <m/>
        <s v="P6_2_Z03" u="1"/>
        <s v="P6_2_Z12" u="1"/>
        <s v="P6_1_Z07" u="1"/>
        <s v="P5-2-Z10" u="1"/>
        <s v="P5-2-Z15" u="1"/>
        <s v="P5-1-Z05" u="1"/>
        <s v="P5-2-Z04" u="1"/>
        <s v="P5-2-Z09" u="1"/>
        <s v="P5-2-Z14" u="1"/>
        <s v="P6_1_Z05" u="1"/>
        <s v="P5-1-Z04" u="1"/>
        <s v="P5-1-Z09" u="1"/>
        <s v="P6_2_Z04" u="1"/>
        <s v="P5-2-Z03" u="1"/>
        <s v="P5-2-Z08" u="1"/>
        <s v="P5-2-Z13" u="1"/>
        <s v="P6_1_Z04" u="1"/>
        <s v="P5-1-Z03" u="1"/>
        <s v="P5-1-Z08" u="1"/>
        <s v="P6_2_Z08" u="1"/>
        <s v="P5-2-Z07" u="1"/>
        <s v="P6_2_Z13" u="1"/>
        <s v="P5-2-Z12" u="1"/>
        <s v="P6_1_Z03" u="1"/>
        <s v="P5-1-Z02" u="1"/>
        <s v="P6_1_Z08" u="1"/>
        <s v="P5-1-Z07" u="1"/>
        <s v="P6_2_Z02" u="1"/>
        <s v="P5-2-Z01" u="1"/>
        <s v="P5-2-Z06" u="1"/>
        <s v="P5-2-Z11" u="1"/>
        <s v="P5-1-Z01" u="1"/>
        <s v="P5-1-Z06" u="1"/>
        <s v="P6_2_Z01" u="1"/>
        <s v="P5-2-Z05" u="1"/>
      </sharedItems>
    </cacheField>
    <cacheField name="Ubicación Técnica" numFmtId="0">
      <sharedItems containsBlank="1"/>
    </cacheField>
    <cacheField name="Denominación de la ubicación técnica" numFmtId="0">
      <sharedItems containsBlank="1"/>
    </cacheField>
    <cacheField name="Status Usuario Orden" numFmtId="0">
      <sharedItems containsBlank="1"/>
    </cacheField>
    <cacheField name="Clave de Modelo" numFmtId="0">
      <sharedItems containsBlank="1"/>
    </cacheField>
    <cacheField name="Descripcion Operación" numFmtId="0">
      <sharedItems containsBlank="1"/>
    </cacheField>
    <cacheField name="Unidad Medida" numFmtId="0">
      <sharedItems containsBlank="1"/>
    </cacheField>
    <cacheField name="Cantidad Realizada" numFmtId="166">
      <sharedItems containsString="0" containsBlank="1" containsNumber="1" minValue="0" maxValue="3464.2"/>
    </cacheField>
    <cacheField name="VxU" numFmtId="4">
      <sharedItems containsSemiMixedTypes="0" containsString="0" containsNumber="1" minValue="0" maxValue="98188.78"/>
    </cacheField>
    <cacheField name="Vtotal" numFmtId="0">
      <sharedItems containsSemiMixedTypes="0" containsString="0" containsNumber="1" minValue="0" maxValue="33459372.6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2">
  <r>
    <s v="6606648"/>
    <s v="CAME"/>
    <s v="P6_2_Z10_R18_CERT_36_ACTA_2790"/>
    <d v="2026-08-01T00:00:00"/>
    <d v="2026-08-31T00:00:00"/>
    <s v="G13"/>
    <x v="0"/>
    <x v="0"/>
    <s v="B-VP-04017-01601-PAR"/>
    <s v="DEHEZA 1602-1700 Acera Par"/>
    <s v="ACEP"/>
    <s v=""/>
    <s v=""/>
    <s v="M2"/>
    <n v="0"/>
    <n v="0"/>
    <n v="0"/>
  </r>
  <r>
    <s v="6620004"/>
    <s v="CAME"/>
    <s v="P6_2_Z10_R18_CERT_36_ACTA_2800"/>
    <d v="2026-08-01T00:00:00"/>
    <d v="2026-08-31T00:00:00"/>
    <s v="G02"/>
    <x v="1"/>
    <x v="0"/>
    <s v="B-VP-03155-03601-IMP"/>
    <s v="CONESA 3601-3699 Acera Impar"/>
    <s v="ACEP"/>
    <s v=""/>
    <s v=""/>
    <s v="M2"/>
    <n v="0"/>
    <n v="0"/>
    <n v="0"/>
  </r>
  <r>
    <s v="6620004"/>
    <s v="CAME"/>
    <s v="P6_2_Z10_R18_CERT_36_ACTA_2800"/>
    <d v="2026-08-01T00:00:00"/>
    <d v="2026-08-31T00:00:00"/>
    <s v="G02"/>
    <x v="1"/>
    <x v="0"/>
    <s v="B-VP-03155-03601-IMP"/>
    <s v="CONESA 3601-3699 Acera Impar"/>
    <s v="ACEP"/>
    <s v=""/>
    <s v=""/>
    <s v="M2"/>
    <n v="0"/>
    <n v="0"/>
    <n v="0"/>
  </r>
  <r>
    <s v="6639848"/>
    <s v="CAME"/>
    <s v="P6_2_Z10_R18_CERT_36_ACTA_2874"/>
    <d v="2026-08-01T00:00:00"/>
    <d v="2026-08-31T00:00:00"/>
    <s v="G02"/>
    <x v="1"/>
    <x v="0"/>
    <s v="B-VP-12151-03901-PAR"/>
    <s v="LUGONES 3902-4000 Acera Par"/>
    <s v="ACEP"/>
    <s v=""/>
    <s v=""/>
    <s v="M2"/>
    <n v="0"/>
    <n v="0"/>
    <n v="0"/>
  </r>
  <r>
    <s v="6641508"/>
    <s v="CAME"/>
    <s v="P6_2_Z10_R18_CERT_36_ACTA_2842"/>
    <d v="2026-08-01T00:00:00"/>
    <d v="2026-08-31T00:00:00"/>
    <s v="G11"/>
    <x v="2"/>
    <x v="0"/>
    <s v="B-VP-03165-03001-PAR"/>
    <s v="CORDOBA AV. 3002-3100 Acera Par"/>
    <s v="ACEP"/>
    <s v=""/>
    <s v=""/>
    <s v="M2"/>
    <n v="0"/>
    <n v="0"/>
    <n v="0"/>
  </r>
  <r>
    <s v="6641552"/>
    <s v="CAME"/>
    <s v="P6_2_Z10_R18_CERT_36_ACTA_2827"/>
    <d v="2026-08-01T00:00:00"/>
    <d v="2026-08-31T00:00:00"/>
    <s v="G11"/>
    <x v="3"/>
    <x v="0"/>
    <s v="B-VP-20057-02291-IMP"/>
    <s v="SANTA FE AV. 2291-2399 Acera Impar"/>
    <s v="ACEP"/>
    <s v=""/>
    <s v=""/>
    <s v="M2"/>
    <n v="0"/>
    <n v="0"/>
    <n v="0"/>
  </r>
  <r>
    <s v="6641552"/>
    <s v="CAME"/>
    <s v="P6_2_Z10_R18_CERT_36_ACTA_2827"/>
    <d v="2026-08-01T00:00:00"/>
    <d v="2026-08-31T00:00:00"/>
    <s v="G11"/>
    <x v="3"/>
    <x v="0"/>
    <s v="B-VP-20057-02291-IMP"/>
    <s v="SANTA FE AV. 2291-2399 Acera Impar"/>
    <s v="ACEP"/>
    <s v=""/>
    <s v=""/>
    <s v="M2"/>
    <n v="0"/>
    <n v="0"/>
    <n v="0"/>
  </r>
  <r>
    <s v="6641554"/>
    <s v="CAME"/>
    <s v="P6_2_Z10_R18_CERT_36_ACTA_2826"/>
    <d v="2026-08-01T00:00:00"/>
    <d v="2026-08-31T00:00:00"/>
    <s v="G11"/>
    <x v="3"/>
    <x v="0"/>
    <s v="B-VP-03165-01801-IMP"/>
    <s v="CORDOBA AV. 1801-1899 Acera Impar"/>
    <s v="ACEP"/>
    <s v=""/>
    <s v=""/>
    <s v="M2"/>
    <n v="0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"/>
    <s v=""/>
    <s v="M2"/>
    <n v="0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"/>
    <s v=""/>
    <s v="M2"/>
    <n v="0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"/>
    <s v=""/>
    <s v="M2"/>
    <n v="0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"/>
    <s v=""/>
    <s v="M2"/>
    <n v="0"/>
    <n v="0"/>
    <n v="0"/>
  </r>
  <r>
    <s v="6641580"/>
    <s v="CAME"/>
    <s v="P6_2_Z10_R18_CERT_36_ACTA_2814"/>
    <d v="2026-08-01T00:00:00"/>
    <d v="2026-08-31T00:00:00"/>
    <s v="G11"/>
    <x v="3"/>
    <x v="0"/>
    <s v="B-VP-20057-02801-IMP"/>
    <s v="SANTA FE AV. 2801-2899 Acera Impar"/>
    <s v="ACEP"/>
    <s v=""/>
    <s v=""/>
    <s v="M2"/>
    <n v="0"/>
    <n v="0"/>
    <n v="0"/>
  </r>
  <r>
    <s v="6642790"/>
    <s v="CAME"/>
    <s v="P6_2_Z10_R18_CERT_36_ACTA_2846"/>
    <d v="2026-08-01T00:00:00"/>
    <d v="2026-08-31T00:00:00"/>
    <s v="G01"/>
    <x v="1"/>
    <x v="0"/>
    <s v="B-VP-19002-03101-IMP"/>
    <s v="RAMALLO 3101-3199 Acera Impar"/>
    <s v="ACEP"/>
    <s v=""/>
    <s v=""/>
    <s v="T"/>
    <n v="0"/>
    <n v="0"/>
    <n v="0"/>
  </r>
  <r>
    <s v=""/>
    <s v=""/>
    <s v=""/>
    <m/>
    <m/>
    <s v=""/>
    <x v="4"/>
    <x v="1"/>
    <s v=""/>
    <s v=""/>
    <s v=""/>
    <s v=""/>
    <s v=""/>
    <s v=""/>
    <n v="0"/>
    <n v="0"/>
    <n v="0"/>
  </r>
  <r>
    <s v="6640703"/>
    <s v="CAME"/>
    <s v="P6_2_Z10_R18_CERT_36_ACTA_2864"/>
    <d v="2026-08-01T00:00:00"/>
    <d v="2026-08-31T00:00:00"/>
    <s v="G01"/>
    <x v="1"/>
    <x v="0"/>
    <s v="B-VP-17065-04501-CAL"/>
    <s v="PEREZ, ROQUE 4501-4600 Calzada"/>
    <s v="ACEP"/>
    <s v="2P6-002"/>
    <s v="1.2_De material asfáltico sobre granito"/>
    <s v="M2"/>
    <n v="14.9"/>
    <n v="0"/>
    <n v="0"/>
  </r>
  <r>
    <s v=""/>
    <s v=""/>
    <s v=""/>
    <m/>
    <m/>
    <s v=""/>
    <x v="4"/>
    <x v="1"/>
    <s v=""/>
    <s v=""/>
    <s v=""/>
    <s v="2P6-002"/>
    <s v=""/>
    <s v=""/>
    <n v="14.9"/>
    <n v="4481.8599999999997"/>
    <n v="66779.713999999993"/>
  </r>
  <r>
    <s v="6606648"/>
    <s v="CAME"/>
    <s v="P6_2_Z10_R18_CERT_36_ACTA_2790"/>
    <d v="2026-08-01T00:00:00"/>
    <d v="2026-08-31T00:00:00"/>
    <s v="G13"/>
    <x v="0"/>
    <x v="0"/>
    <s v="B-VP-04017-01601-PAR"/>
    <s v="DEHEZA 1602-1700 Acera Par"/>
    <s v="ACEP"/>
    <s v="2P6-007"/>
    <s v="1.4.3_Demolicion de Calzada"/>
    <s v="M2"/>
    <n v="75.099999999999994"/>
    <n v="0"/>
    <n v="0"/>
  </r>
  <r>
    <s v="6637752"/>
    <s v="CAME"/>
    <s v="P6_2_Z10_R18_CERT_36_ACTA_2792"/>
    <d v="2026-08-01T00:00:00"/>
    <d v="2026-08-31T00:00:00"/>
    <s v="G13"/>
    <x v="5"/>
    <x v="0"/>
    <s v="B-VP-01050-00301-CAL"/>
    <s v="ALVAR NUÑEZ 301-400 Calzada"/>
    <s v="ACEP"/>
    <s v="2P6-007"/>
    <s v="1.4.3_Demolicion de Calzada"/>
    <s v="M2"/>
    <n v="100.4"/>
    <n v="0"/>
    <n v="0"/>
  </r>
  <r>
    <s v="6638398"/>
    <s v="CAME"/>
    <s v="P6_2_Z10_R18_CERT_36_ACTA_2791"/>
    <d v="2026-08-01T00:00:00"/>
    <d v="2026-08-31T00:00:00"/>
    <s v="G01"/>
    <x v="1"/>
    <x v="0"/>
    <s v="B-VP-23016-02701-CAL"/>
    <s v="VEDIA 2701-2800 Calzada"/>
    <s v="ACEP"/>
    <s v="2P6-007"/>
    <s v="1.4.3_Demolicion de Calzada"/>
    <s v="M2"/>
    <n v="1"/>
    <n v="0"/>
    <n v="0"/>
  </r>
  <r>
    <s v="6640755"/>
    <s v="CAME"/>
    <s v="P6_2_Z10_R18_CERT_36_ACTA_2845"/>
    <d v="2026-08-01T00:00:00"/>
    <d v="2026-08-31T00:00:00"/>
    <s v="G01"/>
    <x v="1"/>
    <x v="0"/>
    <s v="B-VP-12151-03801-IMP"/>
    <s v="LUGONES 3801-3899 Acera Impar"/>
    <s v="ACEP"/>
    <s v="2P6-007"/>
    <s v="1.4.3_Demolicion de Calzada"/>
    <s v="M2"/>
    <n v="51.1"/>
    <n v="0"/>
    <n v="0"/>
  </r>
  <r>
    <s v="6641492"/>
    <s v="CAME"/>
    <s v="P6_2_Z10_R18_CERT_36_ACTA_2824"/>
    <d v="2026-08-01T00:00:00"/>
    <d v="2026-08-31T00:00:00"/>
    <s v="G11"/>
    <x v="6"/>
    <x v="0"/>
    <s v="B-VP-03118-00801-PAR"/>
    <s v="CERRITO 802-900 Acera Par"/>
    <s v="ACEP"/>
    <s v="2P6-007"/>
    <s v="1.4.3_Demolicion de Calzada"/>
    <s v="M2"/>
    <n v="1"/>
    <n v="0"/>
    <n v="0"/>
  </r>
  <r>
    <s v="6641493"/>
    <s v="CAME"/>
    <s v="P6_2_Z10_R18_CERT_36_ACTA_2839"/>
    <d v="2026-08-01T00:00:00"/>
    <d v="2026-08-31T00:00:00"/>
    <s v="G11"/>
    <x v="6"/>
    <x v="0"/>
    <s v="B-VP-12106-01001-PAR"/>
    <s v="LIBERTAD 1002-1100 Acera Par"/>
    <s v="ACEP"/>
    <s v="2P6-007"/>
    <s v="1.4.3_Demolicion de Calzada"/>
    <s v="M2"/>
    <n v="3.5"/>
    <n v="0"/>
    <n v="0"/>
  </r>
  <r>
    <s v="6641499"/>
    <s v="CAME"/>
    <s v="P6_2_Z10_R18_CERT_36_ACTA_2838"/>
    <d v="2026-08-01T00:00:00"/>
    <d v="2026-08-31T00:00:00"/>
    <s v="G11"/>
    <x v="6"/>
    <x v="0"/>
    <s v="B-VP-03165-01701-PAR"/>
    <s v="CORDOBA AV. 1702-1800 Acera Par"/>
    <s v="ACEP"/>
    <s v="2P6-007"/>
    <s v="1.4.3_Demolicion de Calzada"/>
    <s v="M2"/>
    <n v="5.7"/>
    <n v="0"/>
    <n v="0"/>
  </r>
  <r>
    <s v="6641508"/>
    <s v="CAME"/>
    <s v="P6_2_Z10_R18_CERT_36_ACTA_2842"/>
    <d v="2026-08-01T00:00:00"/>
    <d v="2026-08-31T00:00:00"/>
    <s v="G11"/>
    <x v="2"/>
    <x v="0"/>
    <s v="B-VP-03165-03001-PAR"/>
    <s v="CORDOBA AV. 3002-3100 Acera Par"/>
    <s v="ACEP"/>
    <s v="2P6-007"/>
    <s v="1.4.3_Demolicion de Calzada"/>
    <s v="M2"/>
    <n v="1.4"/>
    <n v="0"/>
    <n v="0"/>
  </r>
  <r>
    <s v="6641511"/>
    <s v="CAME"/>
    <s v="P6_2_Z10_R18_CERT_36_ACTA_2837"/>
    <d v="2026-08-01T00:00:00"/>
    <d v="2026-08-31T00:00:00"/>
    <s v="G11"/>
    <x v="3"/>
    <x v="0"/>
    <s v="B-VP-20057-01801-IMP"/>
    <s v="SANTA FE AV. 1801-1899 Acera Impar"/>
    <s v="ACEP"/>
    <s v="2P6-007"/>
    <s v="1.4.3_Demolicion de Calzada"/>
    <s v="M2"/>
    <n v="3.3"/>
    <n v="0"/>
    <n v="0"/>
  </r>
  <r>
    <s v="6641513"/>
    <s v="CAME"/>
    <s v="P6_2_Z10_R18_CERT_36_ACTA_2819"/>
    <d v="2026-08-01T00:00:00"/>
    <d v="2026-08-31T00:00:00"/>
    <s v="G11"/>
    <x v="3"/>
    <x v="0"/>
    <s v="B-VP-17132-01701-IMP"/>
    <s v="PUEYRREDON AV. 1701-1799 Acera Impar"/>
    <s v="ACEP"/>
    <s v="2P6-007"/>
    <s v="1.4.3_Demolicion de Calzada"/>
    <s v="M2"/>
    <n v="1.4"/>
    <n v="0"/>
    <n v="0"/>
  </r>
  <r>
    <s v="6641515"/>
    <s v="CAME"/>
    <s v="P6_2_Z10_R18_CERT_36_ACTA_2825"/>
    <d v="2026-08-01T00:00:00"/>
    <d v="2026-08-31T00:00:00"/>
    <s v="G11"/>
    <x v="3"/>
    <x v="0"/>
    <s v="B-VP-03165-01601-IMP"/>
    <s v="CORDOBA AV. 1601-1629 Acera Impar"/>
    <s v="ACEP"/>
    <s v="2P6-007"/>
    <s v="1.4.3_Demolicion de Calzada"/>
    <s v="M2"/>
    <n v="1.8"/>
    <n v="0"/>
    <n v="0"/>
  </r>
  <r>
    <s v="6641518"/>
    <s v="CAME"/>
    <s v="P6_2_Z10_R18_CERT_36_ACTA_2840"/>
    <d v="2026-08-01T00:00:00"/>
    <d v="2026-08-31T00:00:00"/>
    <s v="G11"/>
    <x v="3"/>
    <x v="0"/>
    <s v="B-VP-17132-01301-IMP"/>
    <s v="PUEYRREDON AV. 1301-1399 Acera Impar"/>
    <s v="ACEP"/>
    <s v="2P6-007"/>
    <s v="1.4.3_Demolicion de Calzada"/>
    <s v="M2"/>
    <n v="4.8"/>
    <n v="0"/>
    <n v="0"/>
  </r>
  <r>
    <s v="6641519"/>
    <s v="CAME"/>
    <s v="P6_2_Z10_R18_CERT_36_ACTA_2821"/>
    <d v="2026-08-01T00:00:00"/>
    <d v="2026-08-31T00:00:00"/>
    <s v="G11"/>
    <x v="3"/>
    <x v="0"/>
    <s v="B-VP-03165-02501-IMP"/>
    <s v="CORDOBA AV. 2501-2543 Acera Impar"/>
    <s v="ACEP"/>
    <s v="2P6-007"/>
    <s v="1.4.3_Demolicion de Calzada"/>
    <s v="M2"/>
    <n v="3.6"/>
    <n v="0"/>
    <n v="0"/>
  </r>
  <r>
    <s v="6641542"/>
    <s v="CAME"/>
    <s v="P6_2_Z10_R18_CERT_36_ACTA_2830"/>
    <d v="2026-08-01T00:00:00"/>
    <d v="2026-08-31T00:00:00"/>
    <s v="G11"/>
    <x v="3"/>
    <x v="0"/>
    <s v="B-VP-20057-02601-IMP"/>
    <s v="SANTA FE AV. 2601-2699 Acera Impar"/>
    <s v="ACEP"/>
    <s v="2P6-007"/>
    <s v="1.4.3_Demolicion de Calzada"/>
    <s v="M2"/>
    <n v="5.0999999999999996"/>
    <n v="0"/>
    <n v="0"/>
  </r>
  <r>
    <s v="6641544"/>
    <s v="CAME"/>
    <s v="P6_2_Z10_R18_CERT_36_ACTA_2833"/>
    <d v="2026-08-01T00:00:00"/>
    <d v="2026-08-31T00:00:00"/>
    <s v="G11"/>
    <x v="3"/>
    <x v="0"/>
    <s v="B-VP-20057-01701-PAR"/>
    <s v="SANTA FE AV. 1702-1800 Acera Par"/>
    <s v="ACEP"/>
    <s v="2P6-007"/>
    <s v="1.4.3_Demolicion de Calzada"/>
    <s v="M2"/>
    <n v="4.5"/>
    <n v="0"/>
    <n v="0"/>
  </r>
  <r>
    <s v="6641545"/>
    <s v="CAME"/>
    <s v="P6_2_Z10_R18_CERT_36_ACTA_2835"/>
    <d v="2026-08-01T00:00:00"/>
    <d v="2026-08-31T00:00:00"/>
    <s v="G11"/>
    <x v="3"/>
    <x v="0"/>
    <s v="B-VP-20057-01801-PAR"/>
    <s v="SANTA FE AV. 1802-1900 Acera Par"/>
    <s v="ACEP"/>
    <s v="2P6-007"/>
    <s v="1.4.3_Demolicion de Calzada"/>
    <s v="M2"/>
    <n v="7.5"/>
    <n v="0"/>
    <n v="0"/>
  </r>
  <r>
    <s v="6641547"/>
    <s v="CAME"/>
    <s v="P6_2_Z10_R18_CERT_36_ACTA_2832"/>
    <d v="2026-08-01T00:00:00"/>
    <d v="2026-08-31T00:00:00"/>
    <s v="G11"/>
    <x v="3"/>
    <x v="0"/>
    <s v="B-VP-20057-02001-PAR"/>
    <s v="SANTA FE AV. 2002-2100 Acera Par"/>
    <s v="ACEP"/>
    <s v="2P6-007"/>
    <s v="1.4.3_Demolicion de Calzada"/>
    <s v="M2"/>
    <n v="3.8"/>
    <n v="0"/>
    <n v="0"/>
  </r>
  <r>
    <s v="6641549"/>
    <s v="CAME"/>
    <s v="P6_2_Z10_R18_CERT_36_ACTA_2818"/>
    <d v="2026-08-01T00:00:00"/>
    <d v="2026-08-31T00:00:00"/>
    <s v="G11"/>
    <x v="3"/>
    <x v="0"/>
    <s v="B-VP-17132-01901-PAR"/>
    <s v="PUEYRREDON AV. 1902-2000 Acera Par"/>
    <s v="ACEP"/>
    <s v="2P6-007"/>
    <s v="1.4.3_Demolicion de Calzada"/>
    <s v="M2"/>
    <n v="1.1000000000000001"/>
    <n v="0"/>
    <n v="0"/>
  </r>
  <r>
    <s v="6641550"/>
    <s v="CAME"/>
    <s v="P6_2_Z10_R18_CERT_36_ACTA_2815"/>
    <d v="2026-08-01T00:00:00"/>
    <d v="2026-08-31T00:00:00"/>
    <s v="G11"/>
    <x v="3"/>
    <x v="0"/>
    <s v="B-VP-17132-01201-PAR"/>
    <s v="PUEYRREDON AV. 1202-1300 Acera Par"/>
    <s v="ACEP"/>
    <s v="2P6-007"/>
    <s v="1.4.3_Demolicion de Calzada"/>
    <s v="M2"/>
    <n v="3.2"/>
    <n v="0"/>
    <n v="0"/>
  </r>
  <r>
    <s v="6641551"/>
    <s v="CAME"/>
    <s v="P6_2_Z10_R18_CERT_36_ACTA_2829"/>
    <d v="2026-08-01T00:00:00"/>
    <d v="2026-08-31T00:00:00"/>
    <s v="G11"/>
    <x v="3"/>
    <x v="0"/>
    <s v="B-VP-17132-01701-PAR"/>
    <s v="PUEYRREDON AV. 1702-1800 Acera Par"/>
    <s v="ACEP"/>
    <s v="2P6-007"/>
    <s v="1.4.3_Demolicion de Calzada"/>
    <s v="M2"/>
    <n v="4"/>
    <n v="0"/>
    <n v="0"/>
  </r>
  <r>
    <s v="6641552"/>
    <s v="CAME"/>
    <s v="P6_2_Z10_R18_CERT_36_ACTA_2827"/>
    <d v="2026-08-01T00:00:00"/>
    <d v="2026-08-31T00:00:00"/>
    <s v="G11"/>
    <x v="3"/>
    <x v="0"/>
    <s v="B-VP-20057-02291-IMP"/>
    <s v="SANTA FE AV. 2291-2399 Acera Impar"/>
    <s v="ACEP"/>
    <s v="2P6-007"/>
    <s v="1.4.3_Demolicion de Calzada"/>
    <s v="M2"/>
    <n v="2.2000000000000002"/>
    <n v="0"/>
    <n v="0"/>
  </r>
  <r>
    <s v="6641553"/>
    <s v="CAME"/>
    <s v="P6_2_Z10_R18_CERT_36_ACTA_2813"/>
    <d v="2026-08-01T00:00:00"/>
    <d v="2026-08-31T00:00:00"/>
    <s v="G11"/>
    <x v="3"/>
    <x v="0"/>
    <s v="B-VP-01104-03101-IMP"/>
    <s v="ARENALES 3101-3199 Acera Impar"/>
    <s v="ACEP"/>
    <s v="2P6-007"/>
    <s v="1.4.3_Demolicion de Calzada"/>
    <s v="M2"/>
    <n v="1.4"/>
    <n v="0"/>
    <n v="0"/>
  </r>
  <r>
    <s v="6641553"/>
    <s v="CAME"/>
    <s v="P6_2_Z10_R18_CERT_36_ACTA_2813"/>
    <d v="2026-08-01T00:00:00"/>
    <d v="2026-08-31T00:00:00"/>
    <s v="G11"/>
    <x v="3"/>
    <x v="0"/>
    <s v="B-VP-01104-03101-IMP"/>
    <s v="ARENALES 3101-3199 Acera Impar"/>
    <s v="ACEP"/>
    <s v="2P6-007"/>
    <s v="1.4.3_Demolicion de Calzada"/>
    <s v="M2"/>
    <n v="1"/>
    <n v="0"/>
    <n v="0"/>
  </r>
  <r>
    <s v="6641554"/>
    <s v="CAME"/>
    <s v="P6_2_Z10_R18_CERT_36_ACTA_2826"/>
    <d v="2026-08-01T00:00:00"/>
    <d v="2026-08-31T00:00:00"/>
    <s v="G11"/>
    <x v="3"/>
    <x v="0"/>
    <s v="B-VP-03165-01801-IMP"/>
    <s v="CORDOBA AV. 1801-1899 Acera Impar"/>
    <s v="ACEP"/>
    <s v="2P6-007"/>
    <s v="1.4.3_Demolicion de Calzada"/>
    <s v="M2"/>
    <n v="0.8"/>
    <n v="0"/>
    <n v="0"/>
  </r>
  <r>
    <s v="6641555"/>
    <s v="CAME"/>
    <s v="P6_2_Z10_R18_CERT_36_ACTA_2843"/>
    <d v="2026-08-01T00:00:00"/>
    <d v="2026-08-31T00:00:00"/>
    <s v="G11"/>
    <x v="3"/>
    <x v="0"/>
    <s v="B-VP-20029-01301-PAR"/>
    <s v="SANCHEZ DE BUSTAMANTE 1302-1350  Par"/>
    <s v="ACEP"/>
    <s v="2P6-007"/>
    <s v="1.4.3_Demolicion de Calzada"/>
    <s v="M2"/>
    <n v="1.2"/>
    <n v="0"/>
    <n v="0"/>
  </r>
  <r>
    <s v="6641556"/>
    <s v="CAME"/>
    <s v="P6_2_Z10_R18_CERT_36_ACTA_2836"/>
    <d v="2026-08-01T00:00:00"/>
    <d v="2026-08-31T00:00:00"/>
    <s v="G11"/>
    <x v="3"/>
    <x v="0"/>
    <s v="B-VP-01062-01701-PAR"/>
    <s v="ALVEAR, MARCELO T. DE 1702-1800  Par"/>
    <s v="ACEP"/>
    <s v="2P6-007"/>
    <s v="1.4.3_Demolicion de Calzada"/>
    <s v="M2"/>
    <n v="5.3"/>
    <n v="0"/>
    <n v="0"/>
  </r>
  <r>
    <s v="6641557"/>
    <s v="CAME"/>
    <s v="P6_2_Z10_R18_CERT_36_ACTA_2857"/>
    <d v="2026-08-01T00:00:00"/>
    <d v="2026-08-31T00:00:00"/>
    <s v="G11"/>
    <x v="3"/>
    <x v="0"/>
    <s v="B-VP-20057-02001-IMP"/>
    <s v="SANTA FE AV. 2001-2099 Acera Impar"/>
    <s v="ACEP"/>
    <s v="2P6-007"/>
    <s v="1.4.3_Demolicion de Calzada"/>
    <s v="M2"/>
    <n v="2.8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2P6-007"/>
    <s v="1.4.3_Demolicion de Calzada"/>
    <s v="M2"/>
    <n v="3.3"/>
    <n v="0"/>
    <n v="0"/>
  </r>
  <r>
    <s v="6641559"/>
    <s v="CAME"/>
    <s v="P6_2_Z10_R18_CERT_36_ACTA_2822"/>
    <d v="2026-08-01T00:00:00"/>
    <d v="2026-08-31T00:00:00"/>
    <s v="G11"/>
    <x v="3"/>
    <x v="0"/>
    <s v="B-VP-20057-02302-PAR"/>
    <s v="SANTA FE AV. 2302-2400 Acera Par"/>
    <s v="ACEP"/>
    <s v="2P6-007"/>
    <s v="1.4.3_Demolicion de Calzada"/>
    <s v="M2"/>
    <n v="2.2000000000000002"/>
    <n v="0"/>
    <n v="0"/>
  </r>
  <r>
    <s v="6641580"/>
    <s v="CAME"/>
    <s v="P6_2_Z10_R18_CERT_36_ACTA_2814"/>
    <d v="2026-08-01T00:00:00"/>
    <d v="2026-08-31T00:00:00"/>
    <s v="G11"/>
    <x v="3"/>
    <x v="0"/>
    <s v="B-VP-20057-02801-IMP"/>
    <s v="SANTA FE AV. 2801-2899 Acera Impar"/>
    <s v="ACEP"/>
    <s v="2P6-007"/>
    <s v="1.4.3_Demolicion de Calzada"/>
    <s v="M2"/>
    <n v="2.2999999999999998"/>
    <n v="0"/>
    <n v="0"/>
  </r>
  <r>
    <s v="6641581"/>
    <s v="CAME"/>
    <s v="P6_2_Z10_R18_CERT_36_ACTA_2823"/>
    <d v="2026-08-01T00:00:00"/>
    <d v="2026-08-31T00:00:00"/>
    <s v="G01"/>
    <x v="3"/>
    <x v="0"/>
    <s v="B-VP-20057-01501-IMP"/>
    <s v="SANTA FE AV. 1501-1599 Acera Impar"/>
    <s v="ACEP"/>
    <s v="2P6-007"/>
    <s v="1.4.3_Demolicion de Calzada"/>
    <s v="M2"/>
    <n v="1.6"/>
    <n v="0"/>
    <n v="0"/>
  </r>
  <r>
    <s v="6641582"/>
    <s v="CAME"/>
    <s v="P6_2_Z10_R18_CERT_36_ACTA_2812"/>
    <d v="2026-08-01T00:00:00"/>
    <d v="2026-08-31T00:00:00"/>
    <s v="G11"/>
    <x v="3"/>
    <x v="0"/>
    <s v="B-VP-20057-03101-IMP"/>
    <s v="SANTA FE AV. 3101-3149 Acera Impar"/>
    <s v="ACEP"/>
    <s v="2P6-007"/>
    <s v="1.4.3_Demolicion de Calzada"/>
    <s v="M2"/>
    <n v="2.4"/>
    <n v="0"/>
    <n v="0"/>
  </r>
  <r>
    <s v="6641586"/>
    <s v="CAME"/>
    <s v="P6_2_Z10_R18_CERT_36_ACTA_2816"/>
    <d v="2026-08-01T00:00:00"/>
    <d v="2026-08-31T00:00:00"/>
    <s v="G01"/>
    <x v="3"/>
    <x v="0"/>
    <s v="B-VP-17132-02401-PAR"/>
    <s v="PUEYRREDON AV. 2402-2500 Acera Par"/>
    <s v="ACEP"/>
    <s v="2P6-007"/>
    <s v="1.4.3_Demolicion de Calzada"/>
    <s v="M2"/>
    <n v="0.9"/>
    <n v="0"/>
    <n v="0"/>
  </r>
  <r>
    <s v="6641587"/>
    <s v="CAME"/>
    <s v="P6_2_Z10_R18_CERT_36_ACTA_2820"/>
    <d v="2026-08-01T00:00:00"/>
    <d v="2026-08-31T00:00:00"/>
    <s v="G11"/>
    <x v="3"/>
    <x v="0"/>
    <s v="B-VP-17132-02101-PAR"/>
    <s v="PUEYRREDON AV. 2102-2200 Acera Par"/>
    <s v="ACEP"/>
    <s v="2P6-007"/>
    <s v="1.4.3_Demolicion de Calzada"/>
    <s v="M2"/>
    <n v="1.3"/>
    <n v="0"/>
    <n v="0"/>
  </r>
  <r>
    <s v="6641588"/>
    <s v="CAME"/>
    <s v="P6_2_Z10_R18_CERT_36_ACTA_2831"/>
    <d v="2026-08-01T00:00:00"/>
    <d v="2026-08-31T00:00:00"/>
    <s v="G01"/>
    <x v="3"/>
    <x v="0"/>
    <s v="B-VP-17132-01301-IMP"/>
    <s v="PUEYRREDON AV. 1301-1399 Acera Impar"/>
    <s v="ACEP"/>
    <s v="2P6-007"/>
    <s v="1.4.3_Demolicion de Calzada"/>
    <s v="M2"/>
    <n v="2.4"/>
    <n v="0"/>
    <n v="0"/>
  </r>
  <r>
    <s v="6641589"/>
    <s v="CAME"/>
    <s v="P6_2_Z10_R18_CERT_36_ACTA_2817"/>
    <d v="2026-08-01T00:00:00"/>
    <d v="2026-08-31T00:00:00"/>
    <s v="G11"/>
    <x v="3"/>
    <x v="0"/>
    <s v="B-VP-07013-02401-PAR"/>
    <s v="GALILEO 2402-2430 Acera Par"/>
    <s v="ACEP"/>
    <s v="2P6-007"/>
    <s v="1.4.3_Demolicion de Calzada"/>
    <s v="M2"/>
    <n v="2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07"/>
    <s v="1.4.3_Demolicion de Calzada"/>
    <s v="M2"/>
    <n v="28.4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07"/>
    <s v="1.4.3_Demolicion de Calzada"/>
    <s v="M2"/>
    <n v="17.100000000000001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07"/>
    <s v="1.4.3_Demolicion de Calzada"/>
    <s v="M2"/>
    <n v="3.6"/>
    <n v="0"/>
    <n v="0"/>
  </r>
  <r>
    <s v="6642120"/>
    <s v="CAME"/>
    <s v="P6_2_Z10_R18_CERT_36_ACTA_2841"/>
    <d v="2026-08-01T00:00:00"/>
    <d v="2026-08-31T00:00:00"/>
    <s v="G11"/>
    <x v="3"/>
    <x v="0"/>
    <s v="B-VP-03165-03101-IMP"/>
    <s v="CORDOBA AV. 3101-3199 Acera Impar"/>
    <s v="ACEP"/>
    <s v="2P6-007"/>
    <s v="1.4.3_Demolicion de Calzada"/>
    <s v="M2"/>
    <n v="2.6"/>
    <n v="0"/>
    <n v="0"/>
  </r>
  <r>
    <s v="6642121"/>
    <s v="CAME"/>
    <s v="P6_2_Z10_R18_CERT_36_ACTA_2828"/>
    <d v="2026-08-01T00:00:00"/>
    <d v="2026-08-31T00:00:00"/>
    <s v="G11"/>
    <x v="3"/>
    <x v="0"/>
    <s v="B-VP-20057-02291-IMP"/>
    <s v="SANTA FE AV. 2291-2399 Acera Impar"/>
    <s v="ACEP"/>
    <s v="2P6-007"/>
    <s v="1.4.3_Demolicion de Calzada"/>
    <s v="M2"/>
    <n v="7.4"/>
    <n v="0"/>
    <n v="0"/>
  </r>
  <r>
    <s v=""/>
    <s v=""/>
    <s v=""/>
    <m/>
    <m/>
    <s v=""/>
    <x v="4"/>
    <x v="1"/>
    <s v=""/>
    <s v=""/>
    <s v=""/>
    <s v="2P6-007"/>
    <s v=""/>
    <s v=""/>
    <n v="375.5"/>
    <n v="11839.51"/>
    <n v="4445736.0049999999"/>
  </r>
  <r>
    <s v="6606648"/>
    <s v="CAME"/>
    <s v="P6_2_Z10_R18_CERT_36_ACTA_2790"/>
    <d v="2026-08-01T00:00:00"/>
    <d v="2026-08-31T00:00:00"/>
    <s v="G13"/>
    <x v="0"/>
    <x v="0"/>
    <s v="B-VP-04017-01601-PAR"/>
    <s v="DEHEZA 1602-1700 Acera Par"/>
    <s v="ACEP"/>
    <s v="2P6-008"/>
    <s v="2.1_Excavación de todo tipo no clasifica"/>
    <s v="M3"/>
    <n v="7.5"/>
    <n v="0"/>
    <n v="0"/>
  </r>
  <r>
    <s v="6637752"/>
    <s v="CAME"/>
    <s v="P6_2_Z10_R18_CERT_36_ACTA_2792"/>
    <d v="2026-08-01T00:00:00"/>
    <d v="2026-08-31T00:00:00"/>
    <s v="G13"/>
    <x v="5"/>
    <x v="0"/>
    <s v="B-VP-01050-00301-CAL"/>
    <s v="ALVAR NUÑEZ 301-400 Calzada"/>
    <s v="ACEP"/>
    <s v="2P6-008"/>
    <s v="2.1_Excavación de todo tipo no clasifica"/>
    <s v="M3"/>
    <n v="10"/>
    <n v="0"/>
    <n v="0"/>
  </r>
  <r>
    <s v="6638398"/>
    <s v="CAME"/>
    <s v="P6_2_Z10_R18_CERT_36_ACTA_2791"/>
    <d v="2026-08-01T00:00:00"/>
    <d v="2026-08-31T00:00:00"/>
    <s v="G01"/>
    <x v="1"/>
    <x v="0"/>
    <s v="B-VP-23016-02701-CAL"/>
    <s v="VEDIA 2701-2800 Calzada"/>
    <s v="ACEP"/>
    <s v="2P6-008"/>
    <s v="2.1_Excavación de todo tipo no clasifica"/>
    <s v="M3"/>
    <n v="0.1"/>
    <n v="0"/>
    <n v="0"/>
  </r>
  <r>
    <s v="6639081"/>
    <s v="CAME"/>
    <s v="P6_2_Z10_R18_CERT_36_ACTA_2860"/>
    <d v="2026-08-01T00:00:00"/>
    <d v="2026-08-31T00:00:00"/>
    <s v="G01"/>
    <x v="1"/>
    <x v="0"/>
    <s v="B-VP-12014-03051-CAL"/>
    <s v="LADINES 3051-3100 Calzada"/>
    <s v="ACEP"/>
    <s v="2P6-008"/>
    <s v="2.1_Excavación de todo tipo no clasifica"/>
    <s v="M3"/>
    <n v="0.2"/>
    <n v="0"/>
    <n v="0"/>
  </r>
  <r>
    <s v="6639102"/>
    <s v="CAME"/>
    <s v="P6_2_Z10_R18_CERT_36_ACTA_2859"/>
    <d v="2026-08-01T00:00:00"/>
    <d v="2026-08-31T00:00:00"/>
    <s v="G01"/>
    <x v="1"/>
    <x v="0"/>
    <s v="B-VP-03058-03401-CAL"/>
    <s v="CAPDEVILA 3401-3500 Calzada"/>
    <s v="ACEP"/>
    <s v="2P6-008"/>
    <s v="2.1_Excavación de todo tipo no clasifica"/>
    <s v="M3"/>
    <n v="0.4"/>
    <n v="0"/>
    <n v="0"/>
  </r>
  <r>
    <s v="6639757"/>
    <s v="CAME"/>
    <s v="P6_2_Z10_R18_CERT_36_ACTA_2794"/>
    <d v="2026-08-01T00:00:00"/>
    <d v="2026-08-31T00:00:00"/>
    <s v="G01"/>
    <x v="1"/>
    <x v="0"/>
    <s v="B-VP-03115-03101-IMP"/>
    <s v="CERETTI 3101-3199 Acera Impar"/>
    <s v="ACEP"/>
    <s v="2P6-008"/>
    <s v="2.1_Excavación de todo tipo no clasifica"/>
    <s v="M3"/>
    <n v="0.3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08"/>
    <s v="2.1_Excavación de todo tipo no clasifica"/>
    <s v="M3"/>
    <n v="0.7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08"/>
    <s v="2.1_Excavación de todo tipo no clasifica"/>
    <s v="M3"/>
    <n v="1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08"/>
    <s v="2.1_Excavación de todo tipo no clasifica"/>
    <s v="M3"/>
    <n v="0.3"/>
    <n v="0"/>
    <n v="0"/>
  </r>
  <r>
    <s v="6640698"/>
    <s v="CAME"/>
    <s v="P6_2_Z10_R18_CERT_36_ACTA_2801"/>
    <d v="2026-08-01T00:00:00"/>
    <d v="2026-08-31T00:00:00"/>
    <s v="G01"/>
    <x v="1"/>
    <x v="0"/>
    <s v="B-VP-20127-03801-CAL"/>
    <s v="SUPERI 3801-3900 Calzada"/>
    <s v="ACEP"/>
    <s v="2P6-008"/>
    <s v="2.1_Excavación de todo tipo no clasifica"/>
    <s v="M3"/>
    <n v="0.4"/>
    <n v="0"/>
    <n v="0"/>
  </r>
  <r>
    <s v="6640702"/>
    <s v="CAME"/>
    <s v="P6_2_Z10_R18_CERT_36_ACTA_2858"/>
    <d v="2026-08-01T00:00:00"/>
    <d v="2026-08-31T00:00:00"/>
    <s v="G01"/>
    <x v="1"/>
    <x v="0"/>
    <s v="B-VP-17065-04501-CAL"/>
    <s v="PEREZ, ROQUE 4501-4600 Calzada"/>
    <s v="ACEP"/>
    <s v="2P6-008"/>
    <s v="2.1_Excavación de todo tipo no clasifica"/>
    <s v="M3"/>
    <n v="0.3"/>
    <n v="0"/>
    <n v="0"/>
  </r>
  <r>
    <s v="6640702"/>
    <s v="CAME"/>
    <s v="P6_2_Z10_R18_CERT_36_ACTA_2858"/>
    <d v="2026-08-01T00:00:00"/>
    <d v="2026-08-31T00:00:00"/>
    <s v="G01"/>
    <x v="1"/>
    <x v="0"/>
    <s v="B-VP-17065-04501-CAL"/>
    <s v="PEREZ, ROQUE 4501-4600 Calzada"/>
    <s v="ACEP"/>
    <s v="2P6-008"/>
    <s v="2.1_Excavación de todo tipo no clasifica"/>
    <s v="M3"/>
    <n v="0.1"/>
    <n v="0"/>
    <n v="0"/>
  </r>
  <r>
    <s v="6640755"/>
    <s v="CAME"/>
    <s v="P6_2_Z10_R18_CERT_36_ACTA_2845"/>
    <d v="2026-08-01T00:00:00"/>
    <d v="2026-08-31T00:00:00"/>
    <s v="G01"/>
    <x v="1"/>
    <x v="0"/>
    <s v="B-VP-12151-03801-IMP"/>
    <s v="LUGONES 3801-3899 Acera Impar"/>
    <s v="ACEP"/>
    <s v="2P6-008"/>
    <s v="2.1_Excavación de todo tipo no clasifica"/>
    <s v="M3"/>
    <n v="5.0999999999999996"/>
    <n v="0"/>
    <n v="0"/>
  </r>
  <r>
    <s v="6641492"/>
    <s v="CAME"/>
    <s v="P6_2_Z10_R18_CERT_36_ACTA_2824"/>
    <d v="2026-08-01T00:00:00"/>
    <d v="2026-08-31T00:00:00"/>
    <s v="G11"/>
    <x v="6"/>
    <x v="0"/>
    <s v="B-VP-03118-00801-PAR"/>
    <s v="CERRITO 802-900 Acera Par"/>
    <s v="ACEP"/>
    <s v="2P6-008"/>
    <s v="2.1_Excavación de todo tipo no clasifica"/>
    <s v="M3"/>
    <n v="0.1"/>
    <n v="0"/>
    <n v="0"/>
  </r>
  <r>
    <s v="6641493"/>
    <s v="CAME"/>
    <s v="P6_2_Z10_R18_CERT_36_ACTA_2839"/>
    <d v="2026-08-01T00:00:00"/>
    <d v="2026-08-31T00:00:00"/>
    <s v="G11"/>
    <x v="6"/>
    <x v="0"/>
    <s v="B-VP-12106-01001-PAR"/>
    <s v="LIBERTAD 1002-1100 Acera Par"/>
    <s v="ACEP"/>
    <s v="2P6-008"/>
    <s v="2.1_Excavación de todo tipo no clasifica"/>
    <s v="M3"/>
    <n v="0.4"/>
    <n v="0"/>
    <n v="0"/>
  </r>
  <r>
    <s v="6641499"/>
    <s v="CAME"/>
    <s v="P6_2_Z10_R18_CERT_36_ACTA_2838"/>
    <d v="2026-08-01T00:00:00"/>
    <d v="2026-08-31T00:00:00"/>
    <s v="G11"/>
    <x v="6"/>
    <x v="0"/>
    <s v="B-VP-03165-01701-PAR"/>
    <s v="CORDOBA AV. 1702-1800 Acera Par"/>
    <s v="ACEP"/>
    <s v="2P6-008"/>
    <s v="2.1_Excavación de todo tipo no clasifica"/>
    <s v="M3"/>
    <n v="0.6"/>
    <n v="0"/>
    <n v="0"/>
  </r>
  <r>
    <s v="6641508"/>
    <s v="CAME"/>
    <s v="P6_2_Z10_R18_CERT_36_ACTA_2842"/>
    <d v="2026-08-01T00:00:00"/>
    <d v="2026-08-31T00:00:00"/>
    <s v="G11"/>
    <x v="2"/>
    <x v="0"/>
    <s v="B-VP-03165-03001-PAR"/>
    <s v="CORDOBA AV. 3002-3100 Acera Par"/>
    <s v="ACEP"/>
    <s v="2P6-008"/>
    <s v="2.1_Excavación de todo tipo no clasifica"/>
    <s v="M3"/>
    <n v="0.1"/>
    <n v="0"/>
    <n v="0"/>
  </r>
  <r>
    <s v="6641511"/>
    <s v="CAME"/>
    <s v="P6_2_Z10_R18_CERT_36_ACTA_2837"/>
    <d v="2026-08-01T00:00:00"/>
    <d v="2026-08-31T00:00:00"/>
    <s v="G11"/>
    <x v="3"/>
    <x v="0"/>
    <s v="B-VP-20057-01801-IMP"/>
    <s v="SANTA FE AV. 1801-1899 Acera Impar"/>
    <s v="ACEP"/>
    <s v="2P6-008"/>
    <s v="2.1_Excavación de todo tipo no clasifica"/>
    <s v="M3"/>
    <n v="0.3"/>
    <n v="0"/>
    <n v="0"/>
  </r>
  <r>
    <s v="6641513"/>
    <s v="CAME"/>
    <s v="P6_2_Z10_R18_CERT_36_ACTA_2819"/>
    <d v="2026-08-01T00:00:00"/>
    <d v="2026-08-31T00:00:00"/>
    <s v="G11"/>
    <x v="3"/>
    <x v="0"/>
    <s v="B-VP-17132-01701-IMP"/>
    <s v="PUEYRREDON AV. 1701-1799 Acera Impar"/>
    <s v="ACEP"/>
    <s v="2P6-008"/>
    <s v="2.1_Excavación de todo tipo no clasifica"/>
    <s v="M3"/>
    <n v="0.1"/>
    <n v="0"/>
    <n v="0"/>
  </r>
  <r>
    <s v="6641515"/>
    <s v="CAME"/>
    <s v="P6_2_Z10_R18_CERT_36_ACTA_2825"/>
    <d v="2026-08-01T00:00:00"/>
    <d v="2026-08-31T00:00:00"/>
    <s v="G11"/>
    <x v="3"/>
    <x v="0"/>
    <s v="B-VP-03165-01601-IMP"/>
    <s v="CORDOBA AV. 1601-1629 Acera Impar"/>
    <s v="ACEP"/>
    <s v="2P6-008"/>
    <s v="2.1_Excavación de todo tipo no clasifica"/>
    <s v="M3"/>
    <n v="0.2"/>
    <n v="0"/>
    <n v="0"/>
  </r>
  <r>
    <s v="6641518"/>
    <s v="CAME"/>
    <s v="P6_2_Z10_R18_CERT_36_ACTA_2840"/>
    <d v="2026-08-01T00:00:00"/>
    <d v="2026-08-31T00:00:00"/>
    <s v="G11"/>
    <x v="3"/>
    <x v="0"/>
    <s v="B-VP-17132-01301-IMP"/>
    <s v="PUEYRREDON AV. 1301-1399 Acera Impar"/>
    <s v="ACEP"/>
    <s v="2P6-008"/>
    <s v="2.1_Excavación de todo tipo no clasifica"/>
    <s v="M3"/>
    <n v="0.5"/>
    <n v="0"/>
    <n v="0"/>
  </r>
  <r>
    <s v="6641519"/>
    <s v="CAME"/>
    <s v="P6_2_Z10_R18_CERT_36_ACTA_2821"/>
    <d v="2026-08-01T00:00:00"/>
    <d v="2026-08-31T00:00:00"/>
    <s v="G11"/>
    <x v="3"/>
    <x v="0"/>
    <s v="B-VP-03165-02501-IMP"/>
    <s v="CORDOBA AV. 2501-2543 Acera Impar"/>
    <s v="ACEP"/>
    <s v="2P6-008"/>
    <s v="2.1_Excavación de todo tipo no clasifica"/>
    <s v="M3"/>
    <n v="0.4"/>
    <n v="0"/>
    <n v="0"/>
  </r>
  <r>
    <s v="6641542"/>
    <s v="CAME"/>
    <s v="P6_2_Z10_R18_CERT_36_ACTA_2830"/>
    <d v="2026-08-01T00:00:00"/>
    <d v="2026-08-31T00:00:00"/>
    <s v="G11"/>
    <x v="3"/>
    <x v="0"/>
    <s v="B-VP-20057-02601-IMP"/>
    <s v="SANTA FE AV. 2601-2699 Acera Impar"/>
    <s v="ACEP"/>
    <s v="2P6-008"/>
    <s v="2.1_Excavación de todo tipo no clasifica"/>
    <s v="M3"/>
    <n v="0.5"/>
    <n v="0"/>
    <n v="0"/>
  </r>
  <r>
    <s v="6641544"/>
    <s v="CAME"/>
    <s v="P6_2_Z10_R18_CERT_36_ACTA_2833"/>
    <d v="2026-08-01T00:00:00"/>
    <d v="2026-08-31T00:00:00"/>
    <s v="G11"/>
    <x v="3"/>
    <x v="0"/>
    <s v="B-VP-20057-01701-PAR"/>
    <s v="SANTA FE AV. 1702-1800 Acera Par"/>
    <s v="ACEP"/>
    <s v="2P6-008"/>
    <s v="2.1_Excavación de todo tipo no clasifica"/>
    <s v="M3"/>
    <n v="0.5"/>
    <n v="0"/>
    <n v="0"/>
  </r>
  <r>
    <s v="6641545"/>
    <s v="CAME"/>
    <s v="P6_2_Z10_R18_CERT_36_ACTA_2835"/>
    <d v="2026-08-01T00:00:00"/>
    <d v="2026-08-31T00:00:00"/>
    <s v="G11"/>
    <x v="3"/>
    <x v="0"/>
    <s v="B-VP-20057-01801-PAR"/>
    <s v="SANTA FE AV. 1802-1900 Acera Par"/>
    <s v="ACEP"/>
    <s v="2P6-008"/>
    <s v="2.1_Excavación de todo tipo no clasifica"/>
    <s v="M3"/>
    <n v="0.8"/>
    <n v="0"/>
    <n v="0"/>
  </r>
  <r>
    <s v="6641547"/>
    <s v="CAME"/>
    <s v="P6_2_Z10_R18_CERT_36_ACTA_2832"/>
    <d v="2026-08-01T00:00:00"/>
    <d v="2026-08-31T00:00:00"/>
    <s v="G11"/>
    <x v="3"/>
    <x v="0"/>
    <s v="B-VP-20057-02001-PAR"/>
    <s v="SANTA FE AV. 2002-2100 Acera Par"/>
    <s v="ACEP"/>
    <s v="2P6-008"/>
    <s v="2.1_Excavación de todo tipo no clasifica"/>
    <s v="M3"/>
    <n v="0.4"/>
    <n v="0"/>
    <n v="0"/>
  </r>
  <r>
    <s v="6641549"/>
    <s v="CAME"/>
    <s v="P6_2_Z10_R18_CERT_36_ACTA_2818"/>
    <d v="2026-08-01T00:00:00"/>
    <d v="2026-08-31T00:00:00"/>
    <s v="G11"/>
    <x v="3"/>
    <x v="0"/>
    <s v="B-VP-17132-01901-PAR"/>
    <s v="PUEYRREDON AV. 1902-2000 Acera Par"/>
    <s v="ACEP"/>
    <s v="2P6-008"/>
    <s v="2.1_Excavación de todo tipo no clasifica"/>
    <s v="M3"/>
    <n v="0.1"/>
    <n v="0"/>
    <n v="0"/>
  </r>
  <r>
    <s v="6641550"/>
    <s v="CAME"/>
    <s v="P6_2_Z10_R18_CERT_36_ACTA_2815"/>
    <d v="2026-08-01T00:00:00"/>
    <d v="2026-08-31T00:00:00"/>
    <s v="G11"/>
    <x v="3"/>
    <x v="0"/>
    <s v="B-VP-17132-01201-PAR"/>
    <s v="PUEYRREDON AV. 1202-1300 Acera Par"/>
    <s v="ACEP"/>
    <s v="2P6-008"/>
    <s v="2.1_Excavación de todo tipo no clasifica"/>
    <s v="M3"/>
    <n v="0.3"/>
    <n v="0"/>
    <n v="0"/>
  </r>
  <r>
    <s v="6641551"/>
    <s v="CAME"/>
    <s v="P6_2_Z10_R18_CERT_36_ACTA_2829"/>
    <d v="2026-08-01T00:00:00"/>
    <d v="2026-08-31T00:00:00"/>
    <s v="G11"/>
    <x v="3"/>
    <x v="0"/>
    <s v="B-VP-17132-01701-PAR"/>
    <s v="PUEYRREDON AV. 1702-1800 Acera Par"/>
    <s v="ACEP"/>
    <s v="2P6-008"/>
    <s v="2.1_Excavación de todo tipo no clasifica"/>
    <s v="M3"/>
    <n v="0.4"/>
    <n v="0"/>
    <n v="0"/>
  </r>
  <r>
    <s v="6641552"/>
    <s v="CAME"/>
    <s v="P6_2_Z10_R18_CERT_36_ACTA_2827"/>
    <d v="2026-08-01T00:00:00"/>
    <d v="2026-08-31T00:00:00"/>
    <s v="G11"/>
    <x v="3"/>
    <x v="0"/>
    <s v="B-VP-20057-02291-IMP"/>
    <s v="SANTA FE AV. 2291-2399 Acera Impar"/>
    <s v="ACEP"/>
    <s v="2P6-008"/>
    <s v="2.1_Excavación de todo tipo no clasifica"/>
    <s v="M3"/>
    <n v="0.2"/>
    <n v="0"/>
    <n v="0"/>
  </r>
  <r>
    <s v="6641553"/>
    <s v="CAME"/>
    <s v="P6_2_Z10_R18_CERT_36_ACTA_2813"/>
    <d v="2026-08-01T00:00:00"/>
    <d v="2026-08-31T00:00:00"/>
    <s v="G11"/>
    <x v="3"/>
    <x v="0"/>
    <s v="B-VP-01104-03101-IMP"/>
    <s v="ARENALES 3101-3199 Acera Impar"/>
    <s v="ACEP"/>
    <s v="2P6-008"/>
    <s v="2.1_Excavación de todo tipo no clasifica"/>
    <s v="M3"/>
    <n v="0.1"/>
    <n v="0"/>
    <n v="0"/>
  </r>
  <r>
    <s v="6641553"/>
    <s v="CAME"/>
    <s v="P6_2_Z10_R18_CERT_36_ACTA_2813"/>
    <d v="2026-08-01T00:00:00"/>
    <d v="2026-08-31T00:00:00"/>
    <s v="G11"/>
    <x v="3"/>
    <x v="0"/>
    <s v="B-VP-01104-03101-IMP"/>
    <s v="ARENALES 3101-3199 Acera Impar"/>
    <s v="ACEP"/>
    <s v="2P6-008"/>
    <s v="2.1_Excavación de todo tipo no clasifica"/>
    <s v="M3"/>
    <n v="0.1"/>
    <n v="0"/>
    <n v="0"/>
  </r>
  <r>
    <s v="6641554"/>
    <s v="CAME"/>
    <s v="P6_2_Z10_R18_CERT_36_ACTA_2826"/>
    <d v="2026-08-01T00:00:00"/>
    <d v="2026-08-31T00:00:00"/>
    <s v="G11"/>
    <x v="3"/>
    <x v="0"/>
    <s v="B-VP-03165-01801-IMP"/>
    <s v="CORDOBA AV. 1801-1899 Acera Impar"/>
    <s v="ACEP"/>
    <s v="2P6-008"/>
    <s v="2.1_Excavación de todo tipo no clasifica"/>
    <s v="M3"/>
    <n v="0.1"/>
    <n v="0"/>
    <n v="0"/>
  </r>
  <r>
    <s v="6641555"/>
    <s v="CAME"/>
    <s v="P6_2_Z10_R18_CERT_36_ACTA_2843"/>
    <d v="2026-08-01T00:00:00"/>
    <d v="2026-08-31T00:00:00"/>
    <s v="G11"/>
    <x v="3"/>
    <x v="0"/>
    <s v="B-VP-20029-01301-PAR"/>
    <s v="SANCHEZ DE BUSTAMANTE 1302-1350  Par"/>
    <s v="ACEP"/>
    <s v="2P6-008"/>
    <s v="2.1_Excavación de todo tipo no clasifica"/>
    <s v="M3"/>
    <n v="0.1"/>
    <n v="0"/>
    <n v="0"/>
  </r>
  <r>
    <s v="6641556"/>
    <s v="CAME"/>
    <s v="P6_2_Z10_R18_CERT_36_ACTA_2836"/>
    <d v="2026-08-01T00:00:00"/>
    <d v="2026-08-31T00:00:00"/>
    <s v="G11"/>
    <x v="3"/>
    <x v="0"/>
    <s v="B-VP-01062-01701-PAR"/>
    <s v="ALVEAR, MARCELO T. DE 1702-1800  Par"/>
    <s v="ACEP"/>
    <s v="2P6-008"/>
    <s v="2.1_Excavación de todo tipo no clasifica"/>
    <s v="M3"/>
    <n v="0.5"/>
    <n v="0"/>
    <n v="0"/>
  </r>
  <r>
    <s v="6641557"/>
    <s v="CAME"/>
    <s v="P6_2_Z10_R18_CERT_36_ACTA_2857"/>
    <d v="2026-08-01T00:00:00"/>
    <d v="2026-08-31T00:00:00"/>
    <s v="G11"/>
    <x v="3"/>
    <x v="0"/>
    <s v="B-VP-20057-02001-IMP"/>
    <s v="SANTA FE AV. 2001-2099 Acera Impar"/>
    <s v="ACEP"/>
    <s v="2P6-008"/>
    <s v="2.1_Excavación de todo tipo no clasifica"/>
    <s v="M3"/>
    <n v="0.3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2P6-008"/>
    <s v="2.1_Excavación de todo tipo no clasifica"/>
    <s v="M3"/>
    <n v="0.3"/>
    <n v="0"/>
    <n v="0"/>
  </r>
  <r>
    <s v="6641559"/>
    <s v="CAME"/>
    <s v="P6_2_Z10_R18_CERT_36_ACTA_2822"/>
    <d v="2026-08-01T00:00:00"/>
    <d v="2026-08-31T00:00:00"/>
    <s v="G11"/>
    <x v="3"/>
    <x v="0"/>
    <s v="B-VP-20057-02302-PAR"/>
    <s v="SANTA FE AV. 2302-2400 Acera Par"/>
    <s v="ACEP"/>
    <s v="2P6-008"/>
    <s v="2.1_Excavación de todo tipo no clasifica"/>
    <s v="M3"/>
    <n v="0.2"/>
    <n v="0"/>
    <n v="0"/>
  </r>
  <r>
    <s v="6641580"/>
    <s v="CAME"/>
    <s v="P6_2_Z10_R18_CERT_36_ACTA_2814"/>
    <d v="2026-08-01T00:00:00"/>
    <d v="2026-08-31T00:00:00"/>
    <s v="G11"/>
    <x v="3"/>
    <x v="0"/>
    <s v="B-VP-20057-02801-IMP"/>
    <s v="SANTA FE AV. 2801-2899 Acera Impar"/>
    <s v="ACEP"/>
    <s v="2P6-008"/>
    <s v="2.1_Excavación de todo tipo no clasifica"/>
    <s v="M3"/>
    <n v="0.2"/>
    <n v="0"/>
    <n v="0"/>
  </r>
  <r>
    <s v="6641581"/>
    <s v="CAME"/>
    <s v="P6_2_Z10_R18_CERT_36_ACTA_2823"/>
    <d v="2026-08-01T00:00:00"/>
    <d v="2026-08-31T00:00:00"/>
    <s v="G01"/>
    <x v="3"/>
    <x v="0"/>
    <s v="B-VP-20057-01501-IMP"/>
    <s v="SANTA FE AV. 1501-1599 Acera Impar"/>
    <s v="ACEP"/>
    <s v="2P6-008"/>
    <s v="2.1_Excavación de todo tipo no clasifica"/>
    <s v="M3"/>
    <n v="0.2"/>
    <n v="0"/>
    <n v="0"/>
  </r>
  <r>
    <s v="6641582"/>
    <s v="CAME"/>
    <s v="P6_2_Z10_R18_CERT_36_ACTA_2812"/>
    <d v="2026-08-01T00:00:00"/>
    <d v="2026-08-31T00:00:00"/>
    <s v="G11"/>
    <x v="3"/>
    <x v="0"/>
    <s v="B-VP-20057-03101-IMP"/>
    <s v="SANTA FE AV. 3101-3149 Acera Impar"/>
    <s v="ACEP"/>
    <s v="2P6-008"/>
    <s v="2.1_Excavación de todo tipo no clasifica"/>
    <s v="M3"/>
    <n v="0.2"/>
    <n v="0"/>
    <n v="0"/>
  </r>
  <r>
    <s v="6641586"/>
    <s v="CAME"/>
    <s v="P6_2_Z10_R18_CERT_36_ACTA_2816"/>
    <d v="2026-08-01T00:00:00"/>
    <d v="2026-08-31T00:00:00"/>
    <s v="G01"/>
    <x v="3"/>
    <x v="0"/>
    <s v="B-VP-17132-02401-PAR"/>
    <s v="PUEYRREDON AV. 2402-2500 Acera Par"/>
    <s v="ACEP"/>
    <s v="2P6-008"/>
    <s v="2.1_Excavación de todo tipo no clasifica"/>
    <s v="M3"/>
    <n v="0.1"/>
    <n v="0"/>
    <n v="0"/>
  </r>
  <r>
    <s v="6641587"/>
    <s v="CAME"/>
    <s v="P6_2_Z10_R18_CERT_36_ACTA_2820"/>
    <d v="2026-08-01T00:00:00"/>
    <d v="2026-08-31T00:00:00"/>
    <s v="G11"/>
    <x v="3"/>
    <x v="0"/>
    <s v="B-VP-17132-02101-PAR"/>
    <s v="PUEYRREDON AV. 2102-2200 Acera Par"/>
    <s v="ACEP"/>
    <s v="2P6-008"/>
    <s v="2.1_Excavación de todo tipo no clasifica"/>
    <s v="M3"/>
    <n v="0.1"/>
    <n v="0"/>
    <n v="0"/>
  </r>
  <r>
    <s v="6641588"/>
    <s v="CAME"/>
    <s v="P6_2_Z10_R18_CERT_36_ACTA_2831"/>
    <d v="2026-08-01T00:00:00"/>
    <d v="2026-08-31T00:00:00"/>
    <s v="G01"/>
    <x v="3"/>
    <x v="0"/>
    <s v="B-VP-17132-01301-IMP"/>
    <s v="PUEYRREDON AV. 1301-1399 Acera Impar"/>
    <s v="ACEP"/>
    <s v="2P6-008"/>
    <s v="2.1_Excavación de todo tipo no clasifica"/>
    <s v="M3"/>
    <n v="0.2"/>
    <n v="0"/>
    <n v="0"/>
  </r>
  <r>
    <s v="6641589"/>
    <s v="CAME"/>
    <s v="P6_2_Z10_R18_CERT_36_ACTA_2817"/>
    <d v="2026-08-01T00:00:00"/>
    <d v="2026-08-31T00:00:00"/>
    <s v="G11"/>
    <x v="3"/>
    <x v="0"/>
    <s v="B-VP-07013-02401-PAR"/>
    <s v="GALILEO 2402-2430 Acera Par"/>
    <s v="ACEP"/>
    <s v="2P6-008"/>
    <s v="2.1_Excavación de todo tipo no clasifica"/>
    <s v="M3"/>
    <n v="0.2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08"/>
    <s v="2.1_Excavación de todo tipo no clasifica"/>
    <s v="M3"/>
    <n v="1.7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08"/>
    <s v="2.1_Excavación de todo tipo no clasifica"/>
    <s v="M3"/>
    <n v="0.4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08"/>
    <s v="2.1_Excavación de todo tipo no clasifica"/>
    <s v="M3"/>
    <n v="2.8"/>
    <n v="0"/>
    <n v="0"/>
  </r>
  <r>
    <s v="6642106"/>
    <s v="CAME"/>
    <s v="P6_2_Z10_R18_CERT_36_ACTA_2793"/>
    <d v="2026-08-01T00:00:00"/>
    <d v="2026-08-31T00:00:00"/>
    <s v="G01"/>
    <x v="1"/>
    <x v="0"/>
    <s v="B-VP-13135-02301-IMP"/>
    <s v="MOSCONI GENERAL AV. 2301-2399  Impar"/>
    <s v="ACEP"/>
    <s v="2P6-008"/>
    <s v="2.1_Excavación de todo tipo no clasifica"/>
    <s v="M3"/>
    <n v="0.1"/>
    <n v="0"/>
    <n v="0"/>
  </r>
  <r>
    <s v="6642120"/>
    <s v="CAME"/>
    <s v="P6_2_Z10_R18_CERT_36_ACTA_2841"/>
    <d v="2026-08-01T00:00:00"/>
    <d v="2026-08-31T00:00:00"/>
    <s v="G11"/>
    <x v="3"/>
    <x v="0"/>
    <s v="B-VP-03165-03101-IMP"/>
    <s v="CORDOBA AV. 3101-3199 Acera Impar"/>
    <s v="ACEP"/>
    <s v="2P6-008"/>
    <s v="2.1_Excavación de todo tipo no clasifica"/>
    <s v="M3"/>
    <n v="0.3"/>
    <n v="0"/>
    <n v="0"/>
  </r>
  <r>
    <s v="6642121"/>
    <s v="CAME"/>
    <s v="P6_2_Z10_R18_CERT_36_ACTA_2828"/>
    <d v="2026-08-01T00:00:00"/>
    <d v="2026-08-31T00:00:00"/>
    <s v="G11"/>
    <x v="3"/>
    <x v="0"/>
    <s v="B-VP-20057-02291-IMP"/>
    <s v="SANTA FE AV. 2291-2399 Acera Impar"/>
    <s v="ACEP"/>
    <s v="2P6-008"/>
    <s v="2.1_Excavación de todo tipo no clasifica"/>
    <s v="M3"/>
    <n v="0.7"/>
    <n v="0"/>
    <n v="0"/>
  </r>
  <r>
    <s v="6642411"/>
    <s v="CAME"/>
    <s v="P6_2_Z10_R18_CERT_36_ACTA_2873"/>
    <d v="2026-08-01T00:00:00"/>
    <d v="2026-08-31T00:00:00"/>
    <s v="G10"/>
    <x v="1"/>
    <x v="0"/>
    <s v="B-VP-03152-04801-PAR"/>
    <s v="CONDARCO 4802-4900 Acera Par"/>
    <s v="ACEP"/>
    <s v="2P6-008"/>
    <s v="2.1_Excavación de todo tipo no clasifica"/>
    <s v="M3"/>
    <n v="72"/>
    <n v="0"/>
    <n v="0"/>
  </r>
  <r>
    <s v="6642680"/>
    <s v="CAME"/>
    <s v="P6_2_Z10_R18_CERT_36_ACTA_2872"/>
    <d v="2026-08-01T00:00:00"/>
    <d v="2026-08-31T00:00:00"/>
    <s v="G10"/>
    <x v="7"/>
    <x v="0"/>
    <s v="B-VP-03152-01401-CAL"/>
    <s v="CONDARCO 1401-1500 Calzada"/>
    <s v="ACEP"/>
    <s v="2P6-008"/>
    <s v="2.1_Excavación de todo tipo no clasifica"/>
    <s v="M3"/>
    <n v="28.3"/>
    <n v="0"/>
    <n v="0"/>
  </r>
  <r>
    <s v="6642681"/>
    <s v="CAME"/>
    <s v="P6_2_Z10_R18_CERT_36_ACTA_2871"/>
    <d v="2026-08-01T00:00:00"/>
    <d v="2026-08-31T00:00:00"/>
    <s v="G09"/>
    <x v="1"/>
    <x v="0"/>
    <s v="B-VP-02023-01901"/>
    <s v="BARZANA 1901-2000"/>
    <s v="ACEP"/>
    <s v="2P6-008"/>
    <s v="2.1_Excavación de todo tipo no clasifica"/>
    <s v="M3"/>
    <n v="39.9"/>
    <n v="0"/>
    <n v="0"/>
  </r>
  <r>
    <s v="6643738"/>
    <s v="CAME"/>
    <s v="P6_2_Z10_R18_CERT_36_ACTA_2862"/>
    <d v="2026-08-01T00:00:00"/>
    <d v="2026-08-31T00:00:00"/>
    <s v="G01"/>
    <x v="1"/>
    <x v="0"/>
    <s v="B-VP-20022-02501-IMP"/>
    <s v="OBISPO SAN ALBERTO 2501-2599 Acera Impar"/>
    <s v="ACEP"/>
    <s v="2P6-008"/>
    <s v="2.1_Excavación de todo tipo no clasifica"/>
    <s v="M3"/>
    <n v="0.8"/>
    <n v="0"/>
    <n v="0"/>
  </r>
  <r>
    <s v="6643739"/>
    <s v="CAME"/>
    <s v="P6_2_Z10_R18_CERT_36_ACTA_2861"/>
    <d v="2026-08-01T00:00:00"/>
    <d v="2026-08-31T00:00:00"/>
    <s v="G01"/>
    <x v="1"/>
    <x v="0"/>
    <s v="B-VP-17048-03301-IMP"/>
    <s v="PEDRAZA, MANUELA 3301-3399 Acera Impar"/>
    <s v="ACEP"/>
    <s v="2P6-008"/>
    <s v="2.1_Excavación de todo tipo no clasifica"/>
    <s v="M3"/>
    <n v="0.1"/>
    <n v="0"/>
    <n v="0"/>
  </r>
  <r>
    <s v=""/>
    <s v=""/>
    <s v=""/>
    <m/>
    <m/>
    <s v=""/>
    <x v="4"/>
    <x v="1"/>
    <s v=""/>
    <s v=""/>
    <s v=""/>
    <s v="2P6-008"/>
    <s v=""/>
    <s v=""/>
    <n v="182.3"/>
    <n v="7910.76"/>
    <n v="1442131.5480000002"/>
  </r>
  <r>
    <s v="6606648"/>
    <s v="CAME"/>
    <s v="P6_2_Z10_R18_CERT_36_ACTA_2790"/>
    <d v="2026-08-01T00:00:00"/>
    <d v="2026-08-31T00:00:00"/>
    <s v="G13"/>
    <x v="0"/>
    <x v="0"/>
    <s v="B-VP-04017-01601-PAR"/>
    <s v="DEHEZA 1602-1700 Acera Par"/>
    <s v="ACEP"/>
    <s v="2P6-013"/>
    <s v="2.6_Saneamiento con provisión de suelo s"/>
    <s v="M3"/>
    <n v="7.5"/>
    <n v="0"/>
    <n v="0"/>
  </r>
  <r>
    <s v="6637752"/>
    <s v="CAME"/>
    <s v="P6_2_Z10_R18_CERT_36_ACTA_2792"/>
    <d v="2026-08-01T00:00:00"/>
    <d v="2026-08-31T00:00:00"/>
    <s v="G13"/>
    <x v="5"/>
    <x v="0"/>
    <s v="B-VP-01050-00301-CAL"/>
    <s v="ALVAR NUÑEZ 301-400 Calzada"/>
    <s v="ACEP"/>
    <s v="2P6-013"/>
    <s v="2.6_Saneamiento con provisión de suelo s"/>
    <s v="M3"/>
    <n v="10"/>
    <n v="0"/>
    <n v="0"/>
  </r>
  <r>
    <s v="6638398"/>
    <s v="CAME"/>
    <s v="P6_2_Z10_R18_CERT_36_ACTA_2791"/>
    <d v="2026-08-01T00:00:00"/>
    <d v="2026-08-31T00:00:00"/>
    <s v="G01"/>
    <x v="1"/>
    <x v="0"/>
    <s v="B-VP-23016-02701-CAL"/>
    <s v="VEDIA 2701-2800 Calzada"/>
    <s v="ACEP"/>
    <s v="2P6-013"/>
    <s v="2.6_Saneamiento con provisión de suelo s"/>
    <s v="M3"/>
    <n v="0.1"/>
    <n v="0"/>
    <n v="0"/>
  </r>
  <r>
    <s v="6640755"/>
    <s v="CAME"/>
    <s v="P6_2_Z10_R18_CERT_36_ACTA_2845"/>
    <d v="2026-08-01T00:00:00"/>
    <d v="2026-08-31T00:00:00"/>
    <s v="G01"/>
    <x v="1"/>
    <x v="0"/>
    <s v="B-VP-12151-03801-IMP"/>
    <s v="LUGONES 3801-3899 Acera Impar"/>
    <s v="ACEP"/>
    <s v="2P6-013"/>
    <s v="2.6_Saneamiento con provisión de suelo s"/>
    <s v="M3"/>
    <n v="5.0999999999999996"/>
    <n v="0"/>
    <n v="0"/>
  </r>
  <r>
    <s v=""/>
    <s v=""/>
    <s v=""/>
    <m/>
    <m/>
    <s v=""/>
    <x v="4"/>
    <x v="1"/>
    <s v=""/>
    <s v=""/>
    <s v=""/>
    <s v="2P6-013"/>
    <s v=""/>
    <s v=""/>
    <n v="22.7"/>
    <n v="13053.67"/>
    <n v="296318.30900000001"/>
  </r>
  <r>
    <s v="6639081"/>
    <s v="CAME"/>
    <s v="P6_2_Z10_R18_CERT_36_ACTA_2860"/>
    <d v="2026-08-01T00:00:00"/>
    <d v="2026-08-31T00:00:00"/>
    <s v="G01"/>
    <x v="1"/>
    <x v="0"/>
    <s v="B-VP-12014-03051-CAL"/>
    <s v="LADINES 3051-3100 Calzada"/>
    <s v="ACEP"/>
    <s v="2P6-015"/>
    <s v="3.2_De R.A.P. (provisto por el GCBA) de"/>
    <s v="M3"/>
    <n v="0.2"/>
    <n v="0"/>
    <n v="0"/>
  </r>
  <r>
    <s v="6639102"/>
    <s v="CAME"/>
    <s v="P6_2_Z10_R18_CERT_36_ACTA_2859"/>
    <d v="2026-08-01T00:00:00"/>
    <d v="2026-08-31T00:00:00"/>
    <s v="G01"/>
    <x v="1"/>
    <x v="0"/>
    <s v="B-VP-03058-03401-CAL"/>
    <s v="CAPDEVILA 3401-3500 Calzada"/>
    <s v="ACEP"/>
    <s v="2P6-015"/>
    <s v="3.2_De R.A.P. (provisto por el GCBA) de"/>
    <s v="M3"/>
    <n v="0.4"/>
    <n v="0"/>
    <n v="0"/>
  </r>
  <r>
    <s v="6639757"/>
    <s v="CAME"/>
    <s v="P6_2_Z10_R18_CERT_36_ACTA_2794"/>
    <d v="2026-08-01T00:00:00"/>
    <d v="2026-08-31T00:00:00"/>
    <s v="G01"/>
    <x v="1"/>
    <x v="0"/>
    <s v="B-VP-03115-03101-IMP"/>
    <s v="CERETTI 3101-3199 Acera Impar"/>
    <s v="ACEP"/>
    <s v="2P6-015"/>
    <s v="3.2_De R.A.P. (provisto por el GCBA) de"/>
    <s v="M3"/>
    <n v="0.3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15"/>
    <s v="3.2_De R.A.P. (provisto por el GCBA) de"/>
    <s v="M3"/>
    <n v="0.7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15"/>
    <s v="3.2_De R.A.P. (provisto por el GCBA) de"/>
    <s v="M3"/>
    <n v="1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15"/>
    <s v="3.2_De R.A.P. (provisto por el GCBA) de"/>
    <s v="M3"/>
    <n v="0.3"/>
    <n v="0"/>
    <n v="0"/>
  </r>
  <r>
    <s v="6640698"/>
    <s v="CAME"/>
    <s v="P6_2_Z10_R18_CERT_36_ACTA_2801"/>
    <d v="2026-08-01T00:00:00"/>
    <d v="2026-08-31T00:00:00"/>
    <s v="G01"/>
    <x v="1"/>
    <x v="0"/>
    <s v="B-VP-20127-03801-CAL"/>
    <s v="SUPERI 3801-3900 Calzada"/>
    <s v="ACEP"/>
    <s v="2P6-015"/>
    <s v="3.2_De R.A.P. (provisto por el GCBA) de"/>
    <s v="M3"/>
    <n v="0.4"/>
    <n v="0"/>
    <n v="0"/>
  </r>
  <r>
    <s v="6640702"/>
    <s v="CAME"/>
    <s v="P6_2_Z10_R18_CERT_36_ACTA_2858"/>
    <d v="2026-08-01T00:00:00"/>
    <d v="2026-08-31T00:00:00"/>
    <s v="G01"/>
    <x v="1"/>
    <x v="0"/>
    <s v="B-VP-17065-04501-CAL"/>
    <s v="PEREZ, ROQUE 4501-4600 Calzada"/>
    <s v="ACEP"/>
    <s v="2P6-015"/>
    <s v="3.2_De R.A.P. (provisto por el GCBA) de"/>
    <s v="M3"/>
    <n v="0.3"/>
    <n v="0"/>
    <n v="0"/>
  </r>
  <r>
    <s v="6640702"/>
    <s v="CAME"/>
    <s v="P6_2_Z10_R18_CERT_36_ACTA_2858"/>
    <d v="2026-08-01T00:00:00"/>
    <d v="2026-08-31T00:00:00"/>
    <s v="G01"/>
    <x v="1"/>
    <x v="0"/>
    <s v="B-VP-17065-04501-CAL"/>
    <s v="PEREZ, ROQUE 4501-4600 Calzada"/>
    <s v="ACEP"/>
    <s v="2P6-015"/>
    <s v="3.2_De R.A.P. (provisto por el GCBA) de"/>
    <s v="M3"/>
    <n v="0.1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15"/>
    <s v="3.2_De R.A.P. (provisto por el GCBA) de"/>
    <s v="M3"/>
    <n v="0.4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15"/>
    <s v="3.2_De R.A.P. (provisto por el GCBA) de"/>
    <s v="M3"/>
    <n v="1.7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15"/>
    <s v="3.2_De R.A.P. (provisto por el GCBA) de"/>
    <s v="M3"/>
    <n v="2.8"/>
    <n v="0"/>
    <n v="0"/>
  </r>
  <r>
    <s v="6642106"/>
    <s v="CAME"/>
    <s v="P6_2_Z10_R18_CERT_36_ACTA_2793"/>
    <d v="2026-08-01T00:00:00"/>
    <d v="2026-08-31T00:00:00"/>
    <s v="G01"/>
    <x v="1"/>
    <x v="0"/>
    <s v="B-VP-13135-02301-IMP"/>
    <s v="MOSCONI GENERAL AV. 2301-2399  Impar"/>
    <s v="ACEP"/>
    <s v="2P6-015"/>
    <s v="3.2_De R.A.P. (provisto por el GCBA) de"/>
    <s v="M3"/>
    <n v="0.1"/>
    <n v="0"/>
    <n v="0"/>
  </r>
  <r>
    <s v="6642411"/>
    <s v="CAME"/>
    <s v="P6_2_Z10_R18_CERT_36_ACTA_2873"/>
    <d v="2026-08-01T00:00:00"/>
    <d v="2026-08-31T00:00:00"/>
    <s v="G10"/>
    <x v="1"/>
    <x v="0"/>
    <s v="B-VP-03152-04801-PAR"/>
    <s v="CONDARCO 4802-4900 Acera Par"/>
    <s v="ACEP"/>
    <s v="2P6-015"/>
    <s v="3.2_De R.A.P. (provisto por el GCBA) de"/>
    <s v="M3"/>
    <n v="72"/>
    <n v="0"/>
    <n v="0"/>
  </r>
  <r>
    <s v="6642680"/>
    <s v="CAME"/>
    <s v="P6_2_Z10_R18_CERT_36_ACTA_2872"/>
    <d v="2026-08-01T00:00:00"/>
    <d v="2026-08-31T00:00:00"/>
    <s v="G10"/>
    <x v="7"/>
    <x v="0"/>
    <s v="B-VP-03152-01401-CAL"/>
    <s v="CONDARCO 1401-1500 Calzada"/>
    <s v="ACEP"/>
    <s v="2P6-015"/>
    <s v="3.2_De R.A.P. (provisto por el GCBA) de"/>
    <s v="M3"/>
    <n v="28.3"/>
    <n v="0"/>
    <n v="0"/>
  </r>
  <r>
    <s v="6642681"/>
    <s v="CAME"/>
    <s v="P6_2_Z10_R18_CERT_36_ACTA_2871"/>
    <d v="2026-08-01T00:00:00"/>
    <d v="2026-08-31T00:00:00"/>
    <s v="G09"/>
    <x v="1"/>
    <x v="0"/>
    <s v="B-VP-02023-01901"/>
    <s v="BARZANA 1901-2000"/>
    <s v="ACEP"/>
    <s v="2P6-015"/>
    <s v="3.2_De R.A.P. (provisto por el GCBA) de"/>
    <s v="M3"/>
    <n v="39.9"/>
    <n v="0"/>
    <n v="0"/>
  </r>
  <r>
    <s v="6643738"/>
    <s v="CAME"/>
    <s v="P6_2_Z10_R18_CERT_36_ACTA_2862"/>
    <d v="2026-08-01T00:00:00"/>
    <d v="2026-08-31T00:00:00"/>
    <s v="G01"/>
    <x v="1"/>
    <x v="0"/>
    <s v="B-VP-20022-02501-IMP"/>
    <s v="OBISPO SAN ALBERTO 2501-2599 Acera Impar"/>
    <s v="ACEP"/>
    <s v="2P6-015"/>
    <s v="3.2_De R.A.P. (provisto por el GCBA) de"/>
    <s v="M3"/>
    <n v="0.8"/>
    <n v="0"/>
    <n v="0"/>
  </r>
  <r>
    <s v="6643739"/>
    <s v="CAME"/>
    <s v="P6_2_Z10_R18_CERT_36_ACTA_2861"/>
    <d v="2026-08-01T00:00:00"/>
    <d v="2026-08-31T00:00:00"/>
    <s v="G01"/>
    <x v="1"/>
    <x v="0"/>
    <s v="B-VP-17048-03301-IMP"/>
    <s v="PEDRAZA, MANUELA 3301-3399 Acera Impar"/>
    <s v="ACEP"/>
    <s v="2P6-015"/>
    <s v="3.2_De R.A.P. (provisto por el GCBA) de"/>
    <s v="M3"/>
    <n v="0.1"/>
    <n v="0"/>
    <n v="0"/>
  </r>
  <r>
    <s v=""/>
    <s v=""/>
    <s v=""/>
    <m/>
    <m/>
    <s v=""/>
    <x v="4"/>
    <x v="1"/>
    <s v=""/>
    <s v=""/>
    <s v=""/>
    <s v="2P6-015"/>
    <s v=""/>
    <s v=""/>
    <n v="149.80000000000001"/>
    <n v="10823.92"/>
    <n v="1621423.2160000002"/>
  </r>
  <r>
    <s v="6642106"/>
    <s v="CAME"/>
    <s v="P6_2_Z10_R18_CERT_36_ACTA_2793"/>
    <d v="2026-08-01T00:00:00"/>
    <d v="2026-08-31T00:00:00"/>
    <s v="G01"/>
    <x v="1"/>
    <x v="0"/>
    <s v="B-VP-13135-02301-IMP"/>
    <s v="MOSCONI GENERAL AV. 2301-2399  Impar"/>
    <s v="ACEP"/>
    <s v="2P6-016"/>
    <s v="3.3.1_Menores a 10 m2"/>
    <s v="M2"/>
    <n v="0.8"/>
    <n v="0"/>
    <n v="0"/>
  </r>
  <r>
    <s v=""/>
    <s v=""/>
    <s v=""/>
    <m/>
    <m/>
    <s v=""/>
    <x v="4"/>
    <x v="1"/>
    <s v=""/>
    <s v=""/>
    <s v=""/>
    <s v="2P6-016"/>
    <s v=""/>
    <s v=""/>
    <n v="0.8"/>
    <n v="16988.310000000001"/>
    <n v="13590.648000000001"/>
  </r>
  <r>
    <s v="6640755"/>
    <s v="CAME"/>
    <s v="P6_2_Z10_R18_CERT_36_ACTA_2845"/>
    <d v="2026-08-01T00:00:00"/>
    <d v="2026-08-31T00:00:00"/>
    <s v="G01"/>
    <x v="1"/>
    <x v="0"/>
    <s v="B-VP-12151-03801-IMP"/>
    <s v="LUGONES 3801-3899 Acera Impar"/>
    <s v="ACEP"/>
    <s v="2P6-017"/>
    <s v="3.3.2_Mayores a 10 m2"/>
    <s v="M2"/>
    <n v="51.1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17"/>
    <s v="3.3.2_Mayores a 10 m2"/>
    <s v="M2"/>
    <n v="3.6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17"/>
    <s v="3.3.2_Mayores a 10 m2"/>
    <s v="M2"/>
    <n v="17.100000000000001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17"/>
    <s v="3.3.2_Mayores a 10 m2"/>
    <s v="M2"/>
    <n v="28.4"/>
    <n v="0"/>
    <n v="0"/>
  </r>
  <r>
    <s v="6642411"/>
    <s v="CAME"/>
    <s v="P6_2_Z10_R18_CERT_36_ACTA_2873"/>
    <d v="2026-08-01T00:00:00"/>
    <d v="2026-08-31T00:00:00"/>
    <s v="G10"/>
    <x v="1"/>
    <x v="0"/>
    <s v="B-VP-03152-04801-PAR"/>
    <s v="CONDARCO 4802-4900 Acera Par"/>
    <s v="ACEP"/>
    <s v="2P6-017"/>
    <s v="3.3.2_Mayores a 10 m2"/>
    <s v="M2"/>
    <n v="680.4"/>
    <n v="0"/>
    <n v="0"/>
  </r>
  <r>
    <s v=""/>
    <s v=""/>
    <s v=""/>
    <m/>
    <m/>
    <s v=""/>
    <x v="4"/>
    <x v="1"/>
    <s v=""/>
    <s v=""/>
    <s v=""/>
    <s v="2P6-017"/>
    <s v=""/>
    <s v=""/>
    <n v="780.6"/>
    <n v="15727.46"/>
    <n v="12276855.276000001"/>
  </r>
  <r>
    <s v="6639081"/>
    <s v="CAME"/>
    <s v="P6_2_Z10_R18_CERT_36_ACTA_2860"/>
    <d v="2026-08-01T00:00:00"/>
    <d v="2026-08-31T00:00:00"/>
    <s v="G01"/>
    <x v="1"/>
    <x v="0"/>
    <s v="B-VP-12014-03051-CAL"/>
    <s v="LADINES 3051-3100 Calzada"/>
    <s v="ACEP"/>
    <s v="2P6-020"/>
    <s v="4.1.1_De granito o granitullo. Utilizaci"/>
    <s v="M2"/>
    <n v="2"/>
    <n v="0"/>
    <n v="0"/>
  </r>
  <r>
    <s v="6639102"/>
    <s v="CAME"/>
    <s v="P6_2_Z10_R18_CERT_36_ACTA_2859"/>
    <d v="2026-08-01T00:00:00"/>
    <d v="2026-08-31T00:00:00"/>
    <s v="G01"/>
    <x v="1"/>
    <x v="0"/>
    <s v="B-VP-03058-03401-CAL"/>
    <s v="CAPDEVILA 3401-3500 Calzada"/>
    <s v="ACEP"/>
    <s v="2P6-020"/>
    <s v="4.1.1_De granito o granitullo. Utilizaci"/>
    <s v="M2"/>
    <n v="4.3"/>
    <n v="0"/>
    <n v="0"/>
  </r>
  <r>
    <s v="6639757"/>
    <s v="CAME"/>
    <s v="P6_2_Z10_R18_CERT_36_ACTA_2794"/>
    <d v="2026-08-01T00:00:00"/>
    <d v="2026-08-31T00:00:00"/>
    <s v="G01"/>
    <x v="1"/>
    <x v="0"/>
    <s v="B-VP-03115-03101-IMP"/>
    <s v="CERETTI 3101-3199 Acera Impar"/>
    <s v="ACEP"/>
    <s v="2P6-020"/>
    <s v="4.1.1_De granito o granitullo. Utilizaci"/>
    <s v="M2"/>
    <n v="3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20"/>
    <s v="4.1.1_De granito o granitullo. Utilizaci"/>
    <s v="M2"/>
    <n v="3.2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20"/>
    <s v="4.1.1_De granito o granitullo. Utilizaci"/>
    <s v="M2"/>
    <n v="10.4"/>
    <n v="0"/>
    <n v="0"/>
  </r>
  <r>
    <s v="6639851"/>
    <s v="CAME"/>
    <s v="P6_2_Z10_R18_CERT_36_ACTA_2796"/>
    <d v="2026-08-01T00:00:00"/>
    <d v="2026-08-31T00:00:00"/>
    <s v="G01"/>
    <x v="1"/>
    <x v="0"/>
    <s v="B-VP-20022-02501-PAR"/>
    <s v="OBISPO SAN ALBERTO 2502-2600 Acera Par"/>
    <s v="ACEP"/>
    <s v="2P6-020"/>
    <s v="4.1.1_De granito o granitullo. Utilizaci"/>
    <s v="M2"/>
    <n v="6.8"/>
    <n v="0"/>
    <n v="0"/>
  </r>
  <r>
    <s v="6640698"/>
    <s v="CAME"/>
    <s v="P6_2_Z10_R18_CERT_36_ACTA_2801"/>
    <d v="2026-08-01T00:00:00"/>
    <d v="2026-08-31T00:00:00"/>
    <s v="G01"/>
    <x v="1"/>
    <x v="0"/>
    <s v="B-VP-20127-03801-CAL"/>
    <s v="SUPERI 3801-3900 Calzada"/>
    <s v="ACEP"/>
    <s v="2P6-020"/>
    <s v="4.1.1_De granito o granitullo. Utilizaci"/>
    <s v="M2"/>
    <n v="4.3"/>
    <n v="0"/>
    <n v="0"/>
  </r>
  <r>
    <s v="6640702"/>
    <s v="CAME"/>
    <s v="P6_2_Z10_R18_CERT_36_ACTA_2858"/>
    <d v="2026-08-01T00:00:00"/>
    <d v="2026-08-31T00:00:00"/>
    <s v="G01"/>
    <x v="1"/>
    <x v="0"/>
    <s v="B-VP-17065-04501-CAL"/>
    <s v="PEREZ, ROQUE 4501-4600 Calzada"/>
    <s v="ACEP"/>
    <s v="2P6-020"/>
    <s v="4.1.1_De granito o granitullo. Utilizaci"/>
    <s v="M2"/>
    <n v="2.5"/>
    <n v="0"/>
    <n v="0"/>
  </r>
  <r>
    <s v="6640702"/>
    <s v="CAME"/>
    <s v="P6_2_Z10_R18_CERT_36_ACTA_2858"/>
    <d v="2026-08-01T00:00:00"/>
    <d v="2026-08-31T00:00:00"/>
    <s v="G01"/>
    <x v="1"/>
    <x v="0"/>
    <s v="B-VP-17065-04501-CAL"/>
    <s v="PEREZ, ROQUE 4501-4600 Calzada"/>
    <s v="ACEP"/>
    <s v="2P6-020"/>
    <s v="4.1.1_De granito o granitullo. Utilizaci"/>
    <s v="M2"/>
    <n v="0.6"/>
    <n v="0"/>
    <n v="0"/>
  </r>
  <r>
    <s v="6642411"/>
    <s v="CAME"/>
    <s v="P6_2_Z10_R18_CERT_36_ACTA_2873"/>
    <d v="2026-08-01T00:00:00"/>
    <d v="2026-08-31T00:00:00"/>
    <s v="G10"/>
    <x v="1"/>
    <x v="0"/>
    <s v="B-VP-03152-04801-PAR"/>
    <s v="CONDARCO 4802-4900 Acera Par"/>
    <s v="ACEP"/>
    <s v="2P6-020"/>
    <s v="4.1.1_De granito o granitullo. Utilizaci"/>
    <s v="M2"/>
    <n v="720"/>
    <n v="0"/>
    <n v="0"/>
  </r>
  <r>
    <s v="6642680"/>
    <s v="CAME"/>
    <s v="P6_2_Z10_R18_CERT_36_ACTA_2872"/>
    <d v="2026-08-01T00:00:00"/>
    <d v="2026-08-31T00:00:00"/>
    <s v="G10"/>
    <x v="7"/>
    <x v="0"/>
    <s v="B-VP-03152-01401-CAL"/>
    <s v="CONDARCO 1401-1500 Calzada"/>
    <s v="ACEP"/>
    <s v="2P6-020"/>
    <s v="4.1.1_De granito o granitullo. Utilizaci"/>
    <s v="M2"/>
    <n v="283.3"/>
    <n v="0"/>
    <n v="0"/>
  </r>
  <r>
    <s v="6642681"/>
    <s v="CAME"/>
    <s v="P6_2_Z10_R18_CERT_36_ACTA_2871"/>
    <d v="2026-08-01T00:00:00"/>
    <d v="2026-08-31T00:00:00"/>
    <s v="G09"/>
    <x v="1"/>
    <x v="0"/>
    <s v="B-VP-02023-01901"/>
    <s v="BARZANA 1901-2000"/>
    <s v="ACEP"/>
    <s v="2P6-020"/>
    <s v="4.1.1_De granito o granitullo. Utilizaci"/>
    <s v="M2"/>
    <n v="399"/>
    <n v="0"/>
    <n v="0"/>
  </r>
  <r>
    <s v="6643738"/>
    <s v="CAME"/>
    <s v="P6_2_Z10_R18_CERT_36_ACTA_2862"/>
    <d v="2026-08-01T00:00:00"/>
    <d v="2026-08-31T00:00:00"/>
    <s v="G01"/>
    <x v="1"/>
    <x v="0"/>
    <s v="B-VP-20022-02501-IMP"/>
    <s v="OBISPO SAN ALBERTO 2501-2599 Acera Impar"/>
    <s v="ACEP"/>
    <s v="2P6-020"/>
    <s v="4.1.1_De granito o granitullo. Utilizaci"/>
    <s v="M2"/>
    <n v="7.7"/>
    <n v="0"/>
    <n v="0"/>
  </r>
  <r>
    <s v="6643739"/>
    <s v="CAME"/>
    <s v="P6_2_Z10_R18_CERT_36_ACTA_2861"/>
    <d v="2026-08-01T00:00:00"/>
    <d v="2026-08-31T00:00:00"/>
    <s v="G01"/>
    <x v="1"/>
    <x v="0"/>
    <s v="B-VP-17048-03301-IMP"/>
    <s v="PEDRAZA, MANUELA 3301-3399 Acera Impar"/>
    <s v="ACEP"/>
    <s v="2P6-020"/>
    <s v="4.1.1_De granito o granitullo. Utilizaci"/>
    <s v="M2"/>
    <n v="0.6"/>
    <n v="0"/>
    <n v="0"/>
  </r>
  <r>
    <s v=""/>
    <s v=""/>
    <s v=""/>
    <m/>
    <m/>
    <s v=""/>
    <x v="4"/>
    <x v="1"/>
    <s v=""/>
    <s v=""/>
    <s v=""/>
    <s v="2P6-020"/>
    <s v=""/>
    <s v=""/>
    <n v="1447.7"/>
    <n v="23112.09"/>
    <n v="33459372.693"/>
  </r>
  <r>
    <s v="6642106"/>
    <s v="CAME"/>
    <s v="P6_2_Z10_R18_CERT_36_ACTA_2793"/>
    <d v="2026-08-01T00:00:00"/>
    <d v="2026-08-31T00:00:00"/>
    <s v="G01"/>
    <x v="1"/>
    <x v="0"/>
    <s v="B-VP-13135-02301-IMP"/>
    <s v="MOSCONI GENERAL AV. 2301-2399  Impar"/>
    <s v="ACEP"/>
    <s v="2P6-021"/>
    <s v="4.1.2_Adorquines -250m2 removidos en la"/>
    <s v="M2"/>
    <n v="0.8"/>
    <n v="0"/>
    <n v="0"/>
  </r>
  <r>
    <s v=""/>
    <s v=""/>
    <s v=""/>
    <m/>
    <m/>
    <s v=""/>
    <x v="4"/>
    <x v="1"/>
    <s v=""/>
    <s v=""/>
    <s v=""/>
    <s v="2P6-021"/>
    <s v=""/>
    <s v=""/>
    <n v="0.8"/>
    <n v="31630.17"/>
    <n v="25304.135999999999"/>
  </r>
  <r>
    <s v="6638398"/>
    <s v="CAME"/>
    <s v="P6_2_Z10_R18_CERT_36_ACTA_2791"/>
    <d v="2026-08-01T00:00:00"/>
    <d v="2026-08-31T00:00:00"/>
    <s v="G01"/>
    <x v="1"/>
    <x v="0"/>
    <s v="B-VP-23016-02701-CAL"/>
    <s v="VEDIA 2701-2800 Calzada"/>
    <s v="ACEP"/>
    <s v="2P6-022"/>
    <s v="4.2.1_Pavimento, cuneta y/o lecho 0,20 m"/>
    <s v="M2"/>
    <n v="1"/>
    <n v="0"/>
    <n v="0"/>
  </r>
  <r>
    <s v=""/>
    <s v=""/>
    <s v=""/>
    <m/>
    <m/>
    <s v=""/>
    <x v="4"/>
    <x v="1"/>
    <s v=""/>
    <s v=""/>
    <s v=""/>
    <s v="2P6-022"/>
    <s v=""/>
    <s v=""/>
    <n v="1"/>
    <n v="19456.490000000002"/>
    <n v="19456.490000000002"/>
  </r>
  <r>
    <s v="6606648"/>
    <s v="CAME"/>
    <s v="P6_2_Z10_R18_CERT_36_ACTA_2790"/>
    <d v="2026-08-01T00:00:00"/>
    <d v="2026-08-31T00:00:00"/>
    <s v="G13"/>
    <x v="0"/>
    <x v="0"/>
    <s v="B-VP-04017-01601-PAR"/>
    <s v="DEHEZA 1602-1700 Acera Par"/>
    <s v="ACEP"/>
    <s v="2P6-023"/>
    <s v="4.2.2_Pavimento, cuneta y/o lecho 0,24 m"/>
    <s v="M2"/>
    <n v="75.099999999999994"/>
    <n v="0"/>
    <n v="0"/>
  </r>
  <r>
    <s v="6637752"/>
    <s v="CAME"/>
    <s v="P6_2_Z10_R18_CERT_36_ACTA_2792"/>
    <d v="2026-08-01T00:00:00"/>
    <d v="2026-08-31T00:00:00"/>
    <s v="G13"/>
    <x v="5"/>
    <x v="0"/>
    <s v="B-VP-01050-00301-CAL"/>
    <s v="ALVAR NUÑEZ 301-400 Calzada"/>
    <s v="ACEP"/>
    <s v="2P6-023"/>
    <s v="4.2.2_Pavimento, cuneta y/o lecho 0,24 m"/>
    <s v="M2"/>
    <n v="100.4"/>
    <n v="0"/>
    <n v="0"/>
  </r>
  <r>
    <s v=""/>
    <s v=""/>
    <s v=""/>
    <m/>
    <m/>
    <s v=""/>
    <x v="4"/>
    <x v="1"/>
    <s v=""/>
    <s v=""/>
    <s v=""/>
    <s v="2P6-023"/>
    <s v=""/>
    <s v=""/>
    <n v="175.5"/>
    <n v="25053.42"/>
    <n v="4396875.21"/>
  </r>
  <r>
    <s v="6637752"/>
    <s v="CAME"/>
    <s v="P6_2_Z10_R18_CERT_36_ACTA_2792"/>
    <d v="2026-08-01T00:00:00"/>
    <d v="2026-08-31T00:00:00"/>
    <s v="G13"/>
    <x v="5"/>
    <x v="0"/>
    <s v="B-VP-01050-00301-CAL"/>
    <s v="ALVAR NUÑEZ 301-400 Calzada"/>
    <s v="ACEP"/>
    <s v="2P6-024"/>
    <s v="4.3.1_Hormigón armado recto, curvo o reb"/>
    <s v="M"/>
    <n v="10"/>
    <n v="0"/>
    <n v="0"/>
  </r>
  <r>
    <s v=""/>
    <s v=""/>
    <s v=""/>
    <m/>
    <m/>
    <s v=""/>
    <x v="4"/>
    <x v="1"/>
    <s v=""/>
    <s v=""/>
    <s v=""/>
    <s v="2P6-024"/>
    <s v=""/>
    <s v=""/>
    <n v="10"/>
    <n v="12669.31"/>
    <n v="126693.09999999999"/>
  </r>
  <r>
    <s v="6639850"/>
    <s v="CAME"/>
    <s v="P6_2_Z10_R18_CERT_36_ACTA_2802"/>
    <d v="2026-08-01T00:00:00"/>
    <d v="2026-08-31T00:00:00"/>
    <s v="G01"/>
    <x v="1"/>
    <x v="0"/>
    <s v="B-VP-20022-02501-CAL"/>
    <s v="OBISPO SAN ALBERTO 2501-2600 Calzada"/>
    <s v="ACEP"/>
    <s v="2P6-027"/>
    <s v="6.1.1_Cierre de aperturas de Servicios P"/>
    <s v="M2"/>
    <n v="4.8"/>
    <n v="0"/>
    <n v="0"/>
  </r>
  <r>
    <s v="6640703"/>
    <s v="CAME"/>
    <s v="P6_2_Z10_R18_CERT_36_ACTA_2864"/>
    <d v="2026-08-01T00:00:00"/>
    <d v="2026-08-31T00:00:00"/>
    <s v="G01"/>
    <x v="1"/>
    <x v="0"/>
    <s v="B-VP-17065-04501-CAL"/>
    <s v="PEREZ, ROQUE 4501-4600 Calzada"/>
    <s v="ACEP"/>
    <s v="2P6-027"/>
    <s v="6.1.1_Cierre de aperturas de Servicios P"/>
    <s v="M2"/>
    <n v="2.4"/>
    <n v="0"/>
    <n v="0"/>
  </r>
  <r>
    <s v="6642696"/>
    <s v="CAME"/>
    <s v="P6_2_Z10_R18_CERT_36_ACTA_2863"/>
    <d v="2026-08-01T00:00:00"/>
    <d v="2026-08-31T00:00:00"/>
    <s v="G01"/>
    <x v="1"/>
    <x v="0"/>
    <s v="B-VP-06042-05801-CAL"/>
    <s v="FOULLIER, FELIX O. 5801-5900 Calzada"/>
    <s v="ACEP"/>
    <s v="2P6-027"/>
    <s v="6.1.1_Cierre de aperturas de Servicios P"/>
    <s v="M2"/>
    <n v="2"/>
    <n v="0"/>
    <n v="0"/>
  </r>
  <r>
    <s v="6642696"/>
    <s v="CAME"/>
    <s v="P6_2_Z10_R18_CERT_36_ACTA_2863"/>
    <d v="2026-08-01T00:00:00"/>
    <d v="2026-08-31T00:00:00"/>
    <s v="G01"/>
    <x v="1"/>
    <x v="0"/>
    <s v="B-VP-06042-05801-CAL"/>
    <s v="FOULLIER, FELIX O. 5801-5900 Calzada"/>
    <s v="ACEP"/>
    <s v="2P6-027"/>
    <s v="6.1.1_Cierre de aperturas de Servicios P"/>
    <s v="M2"/>
    <n v="1.6"/>
    <n v="0"/>
    <n v="0"/>
  </r>
  <r>
    <s v="6642696"/>
    <s v="CAME"/>
    <s v="P6_2_Z10_R18_CERT_36_ACTA_2863"/>
    <d v="2026-08-01T00:00:00"/>
    <d v="2026-08-31T00:00:00"/>
    <s v="G01"/>
    <x v="1"/>
    <x v="0"/>
    <s v="B-VP-06042-05801-CAL"/>
    <s v="FOULLIER, FELIX O. 5801-5900 Calzada"/>
    <s v="ACEP"/>
    <s v="2P6-027"/>
    <s v="6.1.1_Cierre de aperturas de Servicios P"/>
    <s v="M2"/>
    <n v="1.1000000000000001"/>
    <n v="0"/>
    <n v="0"/>
  </r>
  <r>
    <s v=""/>
    <s v=""/>
    <s v=""/>
    <m/>
    <m/>
    <s v=""/>
    <x v="4"/>
    <x v="1"/>
    <s v=""/>
    <s v=""/>
    <s v=""/>
    <s v="2P6-027"/>
    <s v=""/>
    <s v=""/>
    <n v="11.9"/>
    <n v="69535.8"/>
    <n v="827476.02"/>
  </r>
  <r>
    <s v="6620004"/>
    <s v="CAME"/>
    <s v="P6_2_Z10_R18_CERT_36_ACTA_2800"/>
    <d v="2026-08-01T00:00:00"/>
    <d v="2026-08-31T00:00:00"/>
    <s v="G02"/>
    <x v="1"/>
    <x v="0"/>
    <s v="B-VP-03155-03601-IMP"/>
    <s v="CONESA 3601-3699 Acera Impar"/>
    <s v="ACEP"/>
    <s v="2P6-029"/>
    <s v="6.2_Cierre de aperturas de Servicios Púb"/>
    <s v="M2"/>
    <n v="3.4"/>
    <n v="0"/>
    <n v="0"/>
  </r>
  <r>
    <s v="6639755"/>
    <s v="CAME"/>
    <s v="P6_2_Z10_R18_CERT_36_ACTA_2866"/>
    <d v="2026-08-01T00:00:00"/>
    <d v="2026-08-31T00:00:00"/>
    <s v="G01"/>
    <x v="1"/>
    <x v="0"/>
    <s v="B-VP-01049-02801-CAL"/>
    <s v="ALTOLAGUIRRE 2801-2900 Calzada"/>
    <s v="ACEP"/>
    <s v="2P6-029"/>
    <s v="6.2_Cierre de aperturas de Servicios Púb"/>
    <s v="M2"/>
    <n v="0.9"/>
    <n v="0"/>
    <n v="0"/>
  </r>
  <r>
    <s v="6639758"/>
    <s v="CAME"/>
    <s v="P6_2_Z10_R18_CERT_36_ACTA_2797"/>
    <d v="2026-08-01T00:00:00"/>
    <d v="2026-08-31T00:00:00"/>
    <s v="G01"/>
    <x v="1"/>
    <x v="0"/>
    <s v="B-VP-03153-04601-CAL"/>
    <s v="CONDE 4601-4700 Calzada"/>
    <s v="ACEP"/>
    <s v="2P6-029"/>
    <s v="6.2_Cierre de aperturas de Servicios Púb"/>
    <s v="M2"/>
    <n v="4.7"/>
    <n v="0"/>
    <n v="0"/>
  </r>
  <r>
    <s v="6639844"/>
    <s v="CAME"/>
    <s v="P6_2_Z10_R18_CERT_36_ACTA_2868"/>
    <d v="2026-08-01T00:00:00"/>
    <d v="2026-08-31T00:00:00"/>
    <s v="G02"/>
    <x v="1"/>
    <x v="0"/>
    <s v="B-VP-10017-05401-IMP"/>
    <s v="JURAMENTO 5401-5499 Acera Impar"/>
    <s v="ACEP"/>
    <s v="2P6-029"/>
    <s v="6.2_Cierre de aperturas de Servicios Púb"/>
    <s v="M2"/>
    <n v="4.2"/>
    <n v="0"/>
    <n v="0"/>
  </r>
  <r>
    <s v="6639844"/>
    <s v="CAME"/>
    <s v="P6_2_Z10_R18_CERT_36_ACTA_2868"/>
    <d v="2026-08-01T00:00:00"/>
    <d v="2026-08-31T00:00:00"/>
    <s v="G02"/>
    <x v="1"/>
    <x v="0"/>
    <s v="B-VP-10017-05401-IMP"/>
    <s v="JURAMENTO 5401-5499 Acera Impar"/>
    <s v="ACEP"/>
    <s v="2P6-029"/>
    <s v="6.2_Cierre de aperturas de Servicios Púb"/>
    <s v="M2"/>
    <n v="3.5"/>
    <n v="0"/>
    <n v="0"/>
  </r>
  <r>
    <s v="6639844"/>
    <s v="CAME"/>
    <s v="P6_2_Z10_R18_CERT_36_ACTA_2868"/>
    <d v="2026-08-01T00:00:00"/>
    <d v="2026-08-31T00:00:00"/>
    <s v="G02"/>
    <x v="1"/>
    <x v="0"/>
    <s v="B-VP-10017-05401-IMP"/>
    <s v="JURAMENTO 5401-5499 Acera Impar"/>
    <s v="ACEP"/>
    <s v="2P6-029"/>
    <s v="6.2_Cierre de aperturas de Servicios Púb"/>
    <s v="M2"/>
    <n v="1.3"/>
    <n v="0"/>
    <n v="0"/>
  </r>
  <r>
    <s v="6639849"/>
    <s v="CAME"/>
    <s v="P6_2_Z10_R18_CERT_36_ACTA_2803"/>
    <d v="2026-08-01T00:00:00"/>
    <d v="2026-08-31T00:00:00"/>
    <s v="G01"/>
    <x v="1"/>
    <x v="0"/>
    <s v="B-VP-20022-02201-CAL"/>
    <s v="OBISPO SAN ALBERTO 2201-2300 Calzada"/>
    <s v="ACEP"/>
    <s v="2P6-029"/>
    <s v="6.2_Cierre de aperturas de Servicios Púb"/>
    <s v="M2"/>
    <n v="5.4"/>
    <n v="0"/>
    <n v="0"/>
  </r>
  <r>
    <s v="6639849"/>
    <s v="CAME"/>
    <s v="P6_2_Z10_R18_CERT_36_ACTA_2803"/>
    <d v="2026-08-01T00:00:00"/>
    <d v="2026-08-31T00:00:00"/>
    <s v="G01"/>
    <x v="1"/>
    <x v="0"/>
    <s v="B-VP-20022-02201-CAL"/>
    <s v="OBISPO SAN ALBERTO 2201-2300 Calzada"/>
    <s v="ACEP"/>
    <s v="2P6-029"/>
    <s v="6.2_Cierre de aperturas de Servicios Púb"/>
    <s v="M2"/>
    <n v="0.7"/>
    <n v="0"/>
    <n v="0"/>
  </r>
  <r>
    <s v="6639852"/>
    <s v="CAME"/>
    <s v="P6_2_Z10_R18_CERT_36_ACTA_2867"/>
    <d v="2026-08-01T00:00:00"/>
    <d v="2026-08-31T00:00:00"/>
    <s v="G01"/>
    <x v="1"/>
    <x v="0"/>
    <s v="B-VP-16015-05301-CAL"/>
    <s v="OLAZABAL AV. 5301-5311 Calzada"/>
    <s v="ACEP"/>
    <s v="2P6-029"/>
    <s v="6.2_Cierre de aperturas de Servicios Púb"/>
    <s v="M2"/>
    <n v="3.8"/>
    <n v="0"/>
    <n v="0"/>
  </r>
  <r>
    <s v="6639853"/>
    <s v="CAME"/>
    <s v="P6_2_Z10_R18_CERT_36_ACTA_2852"/>
    <d v="2026-08-01T00:00:00"/>
    <d v="2026-08-31T00:00:00"/>
    <s v="G01"/>
    <x v="1"/>
    <x v="0"/>
    <s v="B-VP-21010-05301-CAL"/>
    <s v="TAMBORINI, JOSE PASCUAL 5301-5400 Cal"/>
    <s v="ACEP"/>
    <s v="2P6-029"/>
    <s v="6.2_Cierre de aperturas de Servicios Púb"/>
    <s v="M2"/>
    <n v="3.6"/>
    <n v="0"/>
    <n v="0"/>
  </r>
  <r>
    <s v="6639854"/>
    <s v="CAME"/>
    <s v="P6_2_Z10_R18_CERT_36_ACTA_2853"/>
    <d v="2026-08-01T00:00:00"/>
    <d v="2026-08-31T00:00:00"/>
    <s v="G01"/>
    <x v="1"/>
    <x v="0"/>
    <s v="B-VP-21010-05301-CAL"/>
    <s v="TAMBORINI, JOSE PASCUAL 5301-5400 Cal"/>
    <s v="ACEP"/>
    <s v="2P6-029"/>
    <s v="6.2_Cierre de aperturas de Servicios Púb"/>
    <s v="M2"/>
    <n v="2.2000000000000002"/>
    <n v="0"/>
    <n v="0"/>
  </r>
  <r>
    <s v="6639855"/>
    <s v="CAME"/>
    <s v="P6_2_Z10_R18_CERT_36_ACTA_2799"/>
    <d v="2026-08-01T00:00:00"/>
    <d v="2026-08-31T00:00:00"/>
    <s v="G01"/>
    <x v="1"/>
    <x v="0"/>
    <s v="B-VP-23001-04701-CAL"/>
    <s v="VALDENEGRO 4701-4800 Calzada"/>
    <s v="ACEP"/>
    <s v="2P6-029"/>
    <s v="6.2_Cierre de aperturas de Servicios Púb"/>
    <s v="M2"/>
    <n v="1.8"/>
    <n v="0"/>
    <n v="0"/>
  </r>
  <r>
    <s v="6639855"/>
    <s v="CAME"/>
    <s v="P6_2_Z10_R18_CERT_36_ACTA_2799"/>
    <d v="2026-08-01T00:00:00"/>
    <d v="2026-08-31T00:00:00"/>
    <s v="G01"/>
    <x v="1"/>
    <x v="0"/>
    <s v="B-VP-23001-04701-CAL"/>
    <s v="VALDENEGRO 4701-4800 Calzada"/>
    <s v="ACEP"/>
    <s v="2P6-029"/>
    <s v="6.2_Cierre de aperturas de Servicios Púb"/>
    <s v="M2"/>
    <n v="2.2000000000000002"/>
    <n v="0"/>
    <n v="0"/>
  </r>
  <r>
    <s v="6640698"/>
    <s v="CAME"/>
    <s v="P6_2_Z10_R18_CERT_36_ACTA_2801"/>
    <d v="2026-08-01T00:00:00"/>
    <d v="2026-08-31T00:00:00"/>
    <s v="G01"/>
    <x v="1"/>
    <x v="0"/>
    <s v="B-VP-20127-03801-CAL"/>
    <s v="SUPERI 3801-3900 Calzada"/>
    <s v="ACEP"/>
    <s v="2P6-029"/>
    <s v="6.2_Cierre de aperturas de Servicios Púb"/>
    <s v="M2"/>
    <n v="3.6"/>
    <n v="0"/>
    <n v="0"/>
  </r>
  <r>
    <s v="6640699"/>
    <s v="CAME"/>
    <s v="P6_2_Z10_R18_CERT_36_ACTA_2850"/>
    <d v="2026-08-01T00:00:00"/>
    <d v="2026-08-31T00:00:00"/>
    <s v="G01"/>
    <x v="1"/>
    <x v="0"/>
    <s v="B-VP-19083-03301-CAL"/>
    <s v="ROOSEVELT FRANKLIN D. 3301-3400 Calzada"/>
    <s v="ACEP"/>
    <s v="2P6-029"/>
    <s v="6.2_Cierre de aperturas de Servicios Púb"/>
    <s v="M2"/>
    <n v="1.4"/>
    <n v="0"/>
    <n v="0"/>
  </r>
  <r>
    <s v="6640700"/>
    <s v="CAME"/>
    <s v="P6_2_Z10_R18_CERT_36_ACTA_2865"/>
    <d v="2026-08-01T00:00:00"/>
    <d v="2026-08-31T00:00:00"/>
    <s v="G01"/>
    <x v="1"/>
    <x v="0"/>
    <s v="B-VP-18005-05901-CAL"/>
    <s v="QUESADA 5901-6000 Calzada"/>
    <s v="ACEP"/>
    <s v="2P6-029"/>
    <s v="6.2_Cierre de aperturas de Servicios Púb"/>
    <s v="M2"/>
    <n v="2.6"/>
    <n v="0"/>
    <n v="0"/>
  </r>
  <r>
    <s v="6640700"/>
    <s v="CAME"/>
    <s v="P6_2_Z10_R18_CERT_36_ACTA_2865"/>
    <d v="2026-08-01T00:00:00"/>
    <d v="2026-08-31T00:00:00"/>
    <s v="G01"/>
    <x v="1"/>
    <x v="0"/>
    <s v="B-VP-18005-05901-CAL"/>
    <s v="QUESADA 5901-6000 Calzada"/>
    <s v="ACEP"/>
    <s v="2P6-029"/>
    <s v="6.2_Cierre de aperturas de Servicios Púb"/>
    <s v="M2"/>
    <n v="0.8"/>
    <n v="0"/>
    <n v="0"/>
  </r>
  <r>
    <s v="6640704"/>
    <s v="CAME"/>
    <s v="P6_2_Z10_R18_CERT_36_ACTA_2851"/>
    <d v="2026-08-01T00:00:00"/>
    <d v="2026-08-31T00:00:00"/>
    <s v="G01"/>
    <x v="1"/>
    <x v="0"/>
    <s v="B-VP-14031-05601-CAL"/>
    <s v="NUÑEZ 5601-5650 Calzada"/>
    <s v="ACEP"/>
    <s v="2P6-029"/>
    <s v="6.2_Cierre de aperturas de Servicios Púb"/>
    <s v="M2"/>
    <n v="2.6"/>
    <n v="0"/>
    <n v="0"/>
  </r>
  <r>
    <s v="6640704"/>
    <s v="CAME"/>
    <s v="P6_2_Z10_R18_CERT_36_ACTA_2851"/>
    <d v="2026-08-01T00:00:00"/>
    <d v="2026-08-31T00:00:00"/>
    <s v="G01"/>
    <x v="1"/>
    <x v="0"/>
    <s v="B-VP-14031-05601-CAL"/>
    <s v="NUÑEZ 5601-5650 Calzada"/>
    <s v="ACEP"/>
    <s v="2P6-029"/>
    <s v="6.2_Cierre de aperturas de Servicios Púb"/>
    <s v="M2"/>
    <n v="1.8"/>
    <n v="0"/>
    <n v="0"/>
  </r>
  <r>
    <s v="6640754"/>
    <s v="CAME"/>
    <s v="P6_2_Z10_R18_CERT_36_ACTA_2798"/>
    <d v="2026-08-01T00:00:00"/>
    <d v="2026-08-31T00:00:00"/>
    <s v="G01"/>
    <x v="1"/>
    <x v="0"/>
    <s v="B-VP-13063-03901-CAL"/>
    <s v="MELIAN AV. 3901-4000 Calzada"/>
    <s v="ACEP"/>
    <s v="2P6-029"/>
    <s v="6.2_Cierre de aperturas de Servicios Púb"/>
    <s v="M2"/>
    <n v="1.3"/>
    <n v="0"/>
    <n v="0"/>
  </r>
  <r>
    <s v="6640754"/>
    <s v="CAME"/>
    <s v="P6_2_Z10_R18_CERT_36_ACTA_2798"/>
    <d v="2026-08-01T00:00:00"/>
    <d v="2026-08-31T00:00:00"/>
    <s v="G01"/>
    <x v="1"/>
    <x v="0"/>
    <s v="B-VP-13063-03901-CAL"/>
    <s v="MELIAN AV. 3901-4000 Calzada"/>
    <s v="ACEP"/>
    <s v="2P6-029"/>
    <s v="6.2_Cierre de aperturas de Servicios Púb"/>
    <s v="M2"/>
    <n v="2.6"/>
    <n v="0"/>
    <n v="0"/>
  </r>
  <r>
    <s v="6642695"/>
    <s v="CAME"/>
    <s v="P6_2_Z10_R18_CERT_36_ACTA_2849"/>
    <d v="2026-08-01T00:00:00"/>
    <d v="2026-08-31T00:00:00"/>
    <s v="G01"/>
    <x v="1"/>
    <x v="0"/>
    <s v="B-VP-07028-03601-CAL"/>
    <s v="GARCIA DEL RIO 3601-3700 Calzada"/>
    <s v="ACEP"/>
    <s v="2P6-029"/>
    <s v="6.2_Cierre de aperturas de Servicios Púb"/>
    <s v="M2"/>
    <n v="8.6"/>
    <n v="0"/>
    <n v="0"/>
  </r>
  <r>
    <s v="6642788"/>
    <s v="CAME"/>
    <s v="P6_2_Z10_R18_CERT_36_ACTA_2854"/>
    <d v="2026-08-01T00:00:00"/>
    <d v="2026-08-31T00:00:00"/>
    <s v="G01"/>
    <x v="1"/>
    <x v="0"/>
    <s v="B-VP-01012-03101-CAL"/>
    <s v="ACHEGA 3101-3200 Calzada"/>
    <s v="ACEP"/>
    <s v="2P6-029"/>
    <s v="6.2_Cierre de aperturas de Servicios Púb"/>
    <s v="M2"/>
    <n v="5.6"/>
    <n v="0"/>
    <n v="0"/>
  </r>
  <r>
    <s v=""/>
    <s v=""/>
    <s v=""/>
    <m/>
    <m/>
    <s v=""/>
    <x v="4"/>
    <x v="1"/>
    <s v=""/>
    <s v=""/>
    <s v=""/>
    <s v="2P6-029"/>
    <s v=""/>
    <s v=""/>
    <n v="68.599999999999994"/>
    <n v="81338.12"/>
    <n v="5579795.0319999997"/>
  </r>
  <r>
    <s v="6639754"/>
    <s v="CAME"/>
    <s v="P6_2_Z10_R18_CERT_36_ACTA_2805"/>
    <d v="2026-08-01T00:00:00"/>
    <d v="2026-08-31T00:00:00"/>
    <s v="G02"/>
    <x v="1"/>
    <x v="0"/>
    <s v="B-VP-01009-02301-PAR"/>
    <s v="ACHA, MARIANO, GRAL. 2302-2400 Acera Par"/>
    <s v="ACEP"/>
    <s v="2P6-030"/>
    <s v="6.3_Cierre de aperturas de Servicios Púb"/>
    <s v="M2"/>
    <n v="1.5"/>
    <n v="0"/>
    <n v="0"/>
  </r>
  <r>
    <s v="6639754"/>
    <s v="CAME"/>
    <s v="P6_2_Z10_R18_CERT_36_ACTA_2805"/>
    <d v="2026-08-01T00:00:00"/>
    <d v="2026-08-31T00:00:00"/>
    <s v="G02"/>
    <x v="1"/>
    <x v="0"/>
    <s v="B-VP-01009-02301-PAR"/>
    <s v="ACHA, MARIANO, GRAL. 2302-2400 Acera Par"/>
    <s v="ACEP"/>
    <s v="2P6-030"/>
    <s v="6.3_Cierre de aperturas de Servicios Púb"/>
    <s v="M2"/>
    <n v="1.5"/>
    <n v="0"/>
    <n v="0"/>
  </r>
  <r>
    <s v="6639754"/>
    <s v="CAME"/>
    <s v="P6_2_Z10_R18_CERT_36_ACTA_2805"/>
    <d v="2026-08-01T00:00:00"/>
    <d v="2026-08-31T00:00:00"/>
    <s v="G02"/>
    <x v="1"/>
    <x v="0"/>
    <s v="B-VP-01009-02301-PAR"/>
    <s v="ACHA, MARIANO, GRAL. 2302-2400 Acera Par"/>
    <s v="ACEP"/>
    <s v="2P6-030"/>
    <s v="6.3_Cierre de aperturas de Servicios Púb"/>
    <s v="M2"/>
    <n v="1.9"/>
    <n v="0"/>
    <n v="0"/>
  </r>
  <r>
    <s v="6639756"/>
    <s v="CAME"/>
    <s v="P6_2_Z10_R18_CERT_36_ACTA_2804"/>
    <d v="2026-08-01T00:00:00"/>
    <d v="2026-08-31T00:00:00"/>
    <s v="G01"/>
    <x v="1"/>
    <x v="0"/>
    <s v="B-VP-01111-04201-CAL"/>
    <s v="ARIAS 4201-4300 Calzada"/>
    <s v="ACEP"/>
    <s v="2P6-030"/>
    <s v="6.3_Cierre de aperturas de Servicios Púb"/>
    <s v="M2"/>
    <n v="1.8"/>
    <n v="0"/>
    <n v="0"/>
  </r>
  <r>
    <s v="6639841"/>
    <s v="CAME"/>
    <s v="P6_2_Z10_R18_CERT_36_ACTA_2806"/>
    <d v="2026-08-01T00:00:00"/>
    <d v="2026-08-31T00:00:00"/>
    <s v="G02"/>
    <x v="1"/>
    <x v="0"/>
    <s v="B-VP-04043-05101-IMP"/>
    <s v="DE LOS CONSTITUYENTES AV. 5101-5199 Imp"/>
    <s v="ACEP"/>
    <s v="2P6-030"/>
    <s v="6.3_Cierre de aperturas de Servicios Púb"/>
    <s v="M2"/>
    <n v="2.1"/>
    <n v="0"/>
    <n v="0"/>
  </r>
  <r>
    <s v="6639842"/>
    <s v="CAME"/>
    <s v="P6_2_Z10_R18_CERT_36_ACTA_2855"/>
    <d v="2026-08-01T00:00:00"/>
    <d v="2026-08-31T00:00:00"/>
    <s v="G01"/>
    <x v="1"/>
    <x v="0"/>
    <s v="B-VP-04017-04701-CAL"/>
    <s v="DEHEZA 4701-4800 Calzada"/>
    <s v="ACEP"/>
    <s v="2P6-030"/>
    <s v="6.3_Cierre de aperturas de Servicios Púb"/>
    <s v="M2"/>
    <n v="9.5"/>
    <n v="0"/>
    <n v="0"/>
  </r>
  <r>
    <s v="6639848"/>
    <s v="CAME"/>
    <s v="P6_2_Z10_R18_CERT_36_ACTA_2874"/>
    <d v="2026-08-01T00:00:00"/>
    <d v="2026-08-31T00:00:00"/>
    <s v="G02"/>
    <x v="1"/>
    <x v="0"/>
    <s v="B-VP-12151-03901-PAR"/>
    <s v="LUGONES 3902-4000 Acera Par"/>
    <s v="ACEP"/>
    <s v="2P6-030"/>
    <s v="6.3_Cierre de aperturas de Servicios Púb"/>
    <s v="M2"/>
    <n v="1.8"/>
    <n v="0"/>
    <n v="0"/>
  </r>
  <r>
    <s v="6640754"/>
    <s v="CAME"/>
    <s v="P6_2_Z10_R18_CERT_36_ACTA_2798"/>
    <d v="2026-08-01T00:00:00"/>
    <d v="2026-08-31T00:00:00"/>
    <s v="G01"/>
    <x v="1"/>
    <x v="0"/>
    <s v="B-VP-13063-03901-CAL"/>
    <s v="MELIAN AV. 3901-4000 Calzada"/>
    <s v="ACEP"/>
    <s v="2P6-030"/>
    <s v="6.3_Cierre de aperturas de Servicios Púb"/>
    <s v="M2"/>
    <n v="0.7"/>
    <n v="0"/>
    <n v="0"/>
  </r>
  <r>
    <s v="6642783"/>
    <s v="CAME"/>
    <s v="P6_2_Z10_R18_CERT_36_ACTA_2856"/>
    <d v="2026-08-01T00:00:00"/>
    <d v="2026-08-31T00:00:00"/>
    <s v="G01"/>
    <x v="1"/>
    <x v="0"/>
    <s v="B-VP-03037-03601-CAL"/>
    <s v="CAMINO, MIGUEL ANDRÉS 3601-3650 CAL"/>
    <s v="ACEP"/>
    <s v="2P6-030"/>
    <s v="6.3_Cierre de aperturas de Servicios Púb"/>
    <s v="M2"/>
    <n v="1.8"/>
    <n v="0"/>
    <n v="0"/>
  </r>
  <r>
    <s v=""/>
    <s v=""/>
    <s v=""/>
    <m/>
    <m/>
    <s v=""/>
    <x v="4"/>
    <x v="1"/>
    <s v=""/>
    <s v=""/>
    <s v=""/>
    <s v="2P6-030"/>
    <s v=""/>
    <s v=""/>
    <n v="22.6"/>
    <n v="98188.78"/>
    <n v="2219066.4280000003"/>
  </r>
  <r>
    <s v="6641550"/>
    <s v="CAME"/>
    <s v="P6_2_Z10_R18_CERT_36_ACTA_2815"/>
    <d v="2026-08-01T00:00:00"/>
    <d v="2026-08-31T00:00:00"/>
    <s v="G11"/>
    <x v="3"/>
    <x v="0"/>
    <s v="B-VP-17132-01201-PAR"/>
    <s v="PUEYRREDON AV. 1202-1300 Acera Par"/>
    <s v="ACEP"/>
    <s v="2P6-031"/>
    <s v="7.1_Recalce y Nivelación de tapas en H°"/>
    <s v="UN"/>
    <n v="1"/>
    <n v="0"/>
    <n v="0"/>
  </r>
  <r>
    <s v="6641553"/>
    <s v="CAME"/>
    <s v="P6_2_Z10_R18_CERT_36_ACTA_2813"/>
    <d v="2026-08-01T00:00:00"/>
    <d v="2026-08-31T00:00:00"/>
    <s v="G11"/>
    <x v="3"/>
    <x v="0"/>
    <s v="B-VP-01104-03101-IMP"/>
    <s v="ARENALES 3101-3199 Acera Impar"/>
    <s v="ACEP"/>
    <s v="2P6-031"/>
    <s v="7.1_Recalce y Nivelación de tapas en H°"/>
    <s v="UN"/>
    <n v="1"/>
    <n v="0"/>
    <n v="0"/>
  </r>
  <r>
    <s v="6641553"/>
    <s v="CAME"/>
    <s v="P6_2_Z10_R18_CERT_36_ACTA_2813"/>
    <d v="2026-08-01T00:00:00"/>
    <d v="2026-08-31T00:00:00"/>
    <s v="G11"/>
    <x v="3"/>
    <x v="0"/>
    <s v="B-VP-01104-03101-IMP"/>
    <s v="ARENALES 3101-3199 Acera Impar"/>
    <s v="ACEP"/>
    <s v="2P6-031"/>
    <s v="7.1_Recalce y Nivelación de tapas en H°"/>
    <s v="UN"/>
    <n v="1"/>
    <n v="0"/>
    <n v="0"/>
  </r>
  <r>
    <s v="6641580"/>
    <s v="CAME"/>
    <s v="P6_2_Z10_R18_CERT_36_ACTA_2814"/>
    <d v="2026-08-01T00:00:00"/>
    <d v="2026-08-31T00:00:00"/>
    <s v="G11"/>
    <x v="3"/>
    <x v="0"/>
    <s v="B-VP-20057-02801-IMP"/>
    <s v="SANTA FE AV. 2801-2899 Acera Impar"/>
    <s v="ACEP"/>
    <s v="2P6-031"/>
    <s v="7.1_Recalce y Nivelación de tapas en H°"/>
    <s v="UN"/>
    <n v="1"/>
    <n v="0"/>
    <n v="0"/>
  </r>
  <r>
    <s v="6641582"/>
    <s v="CAME"/>
    <s v="P6_2_Z10_R18_CERT_36_ACTA_2812"/>
    <d v="2026-08-01T00:00:00"/>
    <d v="2026-08-31T00:00:00"/>
    <s v="G11"/>
    <x v="3"/>
    <x v="0"/>
    <s v="B-VP-20057-03101-IMP"/>
    <s v="SANTA FE AV. 3101-3149 Acera Impar"/>
    <s v="ACEP"/>
    <s v="2P6-031"/>
    <s v="7.1_Recalce y Nivelación de tapas en H°"/>
    <s v="UN"/>
    <n v="1"/>
    <n v="0"/>
    <n v="0"/>
  </r>
  <r>
    <s v=""/>
    <s v=""/>
    <s v=""/>
    <m/>
    <m/>
    <s v=""/>
    <x v="4"/>
    <x v="1"/>
    <s v=""/>
    <s v=""/>
    <s v=""/>
    <s v="2P6-031"/>
    <s v=""/>
    <s v=""/>
    <n v="5"/>
    <n v="51788.59"/>
    <n v="258942.94999999998"/>
  </r>
  <r>
    <s v="6641492"/>
    <s v="CAME"/>
    <s v="P6_2_Z10_R18_CERT_36_ACTA_2824"/>
    <d v="2026-08-01T00:00:00"/>
    <d v="2026-08-31T00:00:00"/>
    <s v="G11"/>
    <x v="6"/>
    <x v="0"/>
    <s v="B-VP-03118-00801-PAR"/>
    <s v="CERRITO 802-900 Acera Par"/>
    <s v="ACEP"/>
    <s v="2P6-032"/>
    <s v="7.2_Recalce y Nivelación de tapas en Con"/>
    <s v="UN"/>
    <n v="1"/>
    <n v="0"/>
    <n v="0"/>
  </r>
  <r>
    <s v="6641493"/>
    <s v="CAME"/>
    <s v="P6_2_Z10_R18_CERT_36_ACTA_2839"/>
    <d v="2026-08-01T00:00:00"/>
    <d v="2026-08-31T00:00:00"/>
    <s v="G11"/>
    <x v="6"/>
    <x v="0"/>
    <s v="B-VP-12106-01001-PAR"/>
    <s v="LIBERTAD 1002-1100 Acera Par"/>
    <s v="ACEP"/>
    <s v="2P6-032"/>
    <s v="7.2_Recalce y Nivelación de tapas en Con"/>
    <s v="UN"/>
    <n v="1"/>
    <n v="0"/>
    <n v="0"/>
  </r>
  <r>
    <s v="6641499"/>
    <s v="CAME"/>
    <s v="P6_2_Z10_R18_CERT_36_ACTA_2838"/>
    <d v="2026-08-01T00:00:00"/>
    <d v="2026-08-31T00:00:00"/>
    <s v="G11"/>
    <x v="6"/>
    <x v="0"/>
    <s v="B-VP-03165-01701-PAR"/>
    <s v="CORDOBA AV. 1702-1800 Acera Par"/>
    <s v="ACEP"/>
    <s v="2P6-032"/>
    <s v="7.2_Recalce y Nivelación de tapas en Con"/>
    <s v="UN"/>
    <n v="1"/>
    <n v="0"/>
    <n v="0"/>
  </r>
  <r>
    <s v="6641508"/>
    <s v="CAME"/>
    <s v="P6_2_Z10_R18_CERT_36_ACTA_2842"/>
    <d v="2026-08-01T00:00:00"/>
    <d v="2026-08-31T00:00:00"/>
    <s v="G11"/>
    <x v="2"/>
    <x v="0"/>
    <s v="B-VP-03165-03001-PAR"/>
    <s v="CORDOBA AV. 3002-3100 Acera Par"/>
    <s v="ACEP"/>
    <s v="2P6-032"/>
    <s v="7.2_Recalce y Nivelación de tapas en Con"/>
    <s v="UN"/>
    <n v="1"/>
    <n v="0"/>
    <n v="0"/>
  </r>
  <r>
    <s v="6641511"/>
    <s v="CAME"/>
    <s v="P6_2_Z10_R18_CERT_36_ACTA_2837"/>
    <d v="2026-08-01T00:00:00"/>
    <d v="2026-08-31T00:00:00"/>
    <s v="G11"/>
    <x v="3"/>
    <x v="0"/>
    <s v="B-VP-20057-01801-IMP"/>
    <s v="SANTA FE AV. 1801-1899 Acera Impar"/>
    <s v="ACEP"/>
    <s v="2P6-032"/>
    <s v="7.2_Recalce y Nivelación de tapas en Con"/>
    <s v="UN"/>
    <n v="1"/>
    <n v="0"/>
    <n v="0"/>
  </r>
  <r>
    <s v="6641513"/>
    <s v="CAME"/>
    <s v="P6_2_Z10_R18_CERT_36_ACTA_2819"/>
    <d v="2026-08-01T00:00:00"/>
    <d v="2026-08-31T00:00:00"/>
    <s v="G11"/>
    <x v="3"/>
    <x v="0"/>
    <s v="B-VP-17132-01701-IMP"/>
    <s v="PUEYRREDON AV. 1701-1799 Acera Impar"/>
    <s v="ACEP"/>
    <s v="2P6-032"/>
    <s v="7.2_Recalce y Nivelación de tapas en Con"/>
    <s v="UN"/>
    <n v="1"/>
    <n v="0"/>
    <n v="0"/>
  </r>
  <r>
    <s v="6641515"/>
    <s v="CAME"/>
    <s v="P6_2_Z10_R18_CERT_36_ACTA_2825"/>
    <d v="2026-08-01T00:00:00"/>
    <d v="2026-08-31T00:00:00"/>
    <s v="G11"/>
    <x v="3"/>
    <x v="0"/>
    <s v="B-VP-03165-01601-IMP"/>
    <s v="CORDOBA AV. 1601-1629 Acera Impar"/>
    <s v="ACEP"/>
    <s v="2P6-032"/>
    <s v="7.2_Recalce y Nivelación de tapas en Con"/>
    <s v="UN"/>
    <n v="1"/>
    <n v="0"/>
    <n v="0"/>
  </r>
  <r>
    <s v="6641518"/>
    <s v="CAME"/>
    <s v="P6_2_Z10_R18_CERT_36_ACTA_2840"/>
    <d v="2026-08-01T00:00:00"/>
    <d v="2026-08-31T00:00:00"/>
    <s v="G11"/>
    <x v="3"/>
    <x v="0"/>
    <s v="B-VP-17132-01301-IMP"/>
    <s v="PUEYRREDON AV. 1301-1399 Acera Impar"/>
    <s v="ACEP"/>
    <s v="2P6-032"/>
    <s v="7.2_Recalce y Nivelación de tapas en Con"/>
    <s v="UN"/>
    <n v="1"/>
    <n v="0"/>
    <n v="0"/>
  </r>
  <r>
    <s v="6641519"/>
    <s v="CAME"/>
    <s v="P6_2_Z10_R18_CERT_36_ACTA_2821"/>
    <d v="2026-08-01T00:00:00"/>
    <d v="2026-08-31T00:00:00"/>
    <s v="G11"/>
    <x v="3"/>
    <x v="0"/>
    <s v="B-VP-03165-02501-IMP"/>
    <s v="CORDOBA AV. 2501-2543 Acera Impar"/>
    <s v="ACEP"/>
    <s v="2P6-032"/>
    <s v="7.2_Recalce y Nivelación de tapas en Con"/>
    <s v="UN"/>
    <n v="1"/>
    <n v="0"/>
    <n v="0"/>
  </r>
  <r>
    <s v="6641542"/>
    <s v="CAME"/>
    <s v="P6_2_Z10_R18_CERT_36_ACTA_2830"/>
    <d v="2026-08-01T00:00:00"/>
    <d v="2026-08-31T00:00:00"/>
    <s v="G11"/>
    <x v="3"/>
    <x v="0"/>
    <s v="B-VP-20057-02601-IMP"/>
    <s v="SANTA FE AV. 2601-2699 Acera Impar"/>
    <s v="ACEP"/>
    <s v="2P6-032"/>
    <s v="7.2_Recalce y Nivelación de tapas en Con"/>
    <s v="UN"/>
    <n v="1"/>
    <n v="0"/>
    <n v="0"/>
  </r>
  <r>
    <s v="6641544"/>
    <s v="CAME"/>
    <s v="P6_2_Z10_R18_CERT_36_ACTA_2833"/>
    <d v="2026-08-01T00:00:00"/>
    <d v="2026-08-31T00:00:00"/>
    <s v="G11"/>
    <x v="3"/>
    <x v="0"/>
    <s v="B-VP-20057-01701-PAR"/>
    <s v="SANTA FE AV. 1702-1800 Acera Par"/>
    <s v="ACEP"/>
    <s v="2P6-032"/>
    <s v="7.2_Recalce y Nivelación de tapas en Con"/>
    <s v="UN"/>
    <n v="1"/>
    <n v="0"/>
    <n v="0"/>
  </r>
  <r>
    <s v="6641545"/>
    <s v="CAME"/>
    <s v="P6_2_Z10_R18_CERT_36_ACTA_2835"/>
    <d v="2026-08-01T00:00:00"/>
    <d v="2026-08-31T00:00:00"/>
    <s v="G11"/>
    <x v="3"/>
    <x v="0"/>
    <s v="B-VP-20057-01801-PAR"/>
    <s v="SANTA FE AV. 1802-1900 Acera Par"/>
    <s v="ACEP"/>
    <s v="2P6-032"/>
    <s v="7.2_Recalce y Nivelación de tapas en Con"/>
    <s v="UN"/>
    <n v="1"/>
    <n v="0"/>
    <n v="0"/>
  </r>
  <r>
    <s v="6641545"/>
    <s v="CAME"/>
    <s v="P6_2_Z10_R18_CERT_36_ACTA_2835"/>
    <d v="2026-08-01T00:00:00"/>
    <d v="2026-08-31T00:00:00"/>
    <s v="G11"/>
    <x v="3"/>
    <x v="0"/>
    <s v="B-VP-20057-01801-PAR"/>
    <s v="SANTA FE AV. 1802-1900 Acera Par"/>
    <s v="ACEP"/>
    <s v="2P6-032"/>
    <s v="7.2_Recalce y Nivelación de tapas en Con"/>
    <s v="UN"/>
    <n v="1"/>
    <n v="0"/>
    <n v="0"/>
  </r>
  <r>
    <s v="6641547"/>
    <s v="CAME"/>
    <s v="P6_2_Z10_R18_CERT_36_ACTA_2832"/>
    <d v="2026-08-01T00:00:00"/>
    <d v="2026-08-31T00:00:00"/>
    <s v="G11"/>
    <x v="3"/>
    <x v="0"/>
    <s v="B-VP-20057-02001-PAR"/>
    <s v="SANTA FE AV. 2002-2100 Acera Par"/>
    <s v="ACEP"/>
    <s v="2P6-032"/>
    <s v="7.2_Recalce y Nivelación de tapas en Con"/>
    <s v="UN"/>
    <n v="1"/>
    <n v="0"/>
    <n v="0"/>
  </r>
  <r>
    <s v="6641549"/>
    <s v="CAME"/>
    <s v="P6_2_Z10_R18_CERT_36_ACTA_2818"/>
    <d v="2026-08-01T00:00:00"/>
    <d v="2026-08-31T00:00:00"/>
    <s v="G11"/>
    <x v="3"/>
    <x v="0"/>
    <s v="B-VP-17132-01901-PAR"/>
    <s v="PUEYRREDON AV. 1902-2000 Acera Par"/>
    <s v="ACEP"/>
    <s v="2P6-032"/>
    <s v="7.2_Recalce y Nivelación de tapas en Con"/>
    <s v="UN"/>
    <n v="1"/>
    <n v="0"/>
    <n v="0"/>
  </r>
  <r>
    <s v="6641551"/>
    <s v="CAME"/>
    <s v="P6_2_Z10_R18_CERT_36_ACTA_2829"/>
    <d v="2026-08-01T00:00:00"/>
    <d v="2026-08-31T00:00:00"/>
    <s v="G11"/>
    <x v="3"/>
    <x v="0"/>
    <s v="B-VP-17132-01701-PAR"/>
    <s v="PUEYRREDON AV. 1702-1800 Acera Par"/>
    <s v="ACEP"/>
    <s v="2P6-032"/>
    <s v="7.2_Recalce y Nivelación de tapas en Con"/>
    <s v="UN"/>
    <n v="1"/>
    <n v="0"/>
    <n v="0"/>
  </r>
  <r>
    <s v="6641552"/>
    <s v="CAME"/>
    <s v="P6_2_Z10_R18_CERT_36_ACTA_2827"/>
    <d v="2026-08-01T00:00:00"/>
    <d v="2026-08-31T00:00:00"/>
    <s v="G11"/>
    <x v="3"/>
    <x v="0"/>
    <s v="B-VP-20057-02291-IMP"/>
    <s v="SANTA FE AV. 2291-2399 Acera Impar"/>
    <s v="ACEP"/>
    <s v="2P6-032"/>
    <s v="7.2_Recalce y Nivelación de tapas en Con"/>
    <s v="UN"/>
    <n v="1"/>
    <n v="0"/>
    <n v="0"/>
  </r>
  <r>
    <s v="6641554"/>
    <s v="CAME"/>
    <s v="P6_2_Z10_R18_CERT_36_ACTA_2826"/>
    <d v="2026-08-01T00:00:00"/>
    <d v="2026-08-31T00:00:00"/>
    <s v="G11"/>
    <x v="3"/>
    <x v="0"/>
    <s v="B-VP-03165-01801-IMP"/>
    <s v="CORDOBA AV. 1801-1899 Acera Impar"/>
    <s v="ACEP"/>
    <s v="2P6-032"/>
    <s v="7.2_Recalce y Nivelación de tapas en Con"/>
    <s v="UN"/>
    <n v="1"/>
    <n v="0"/>
    <n v="0"/>
  </r>
  <r>
    <s v="6641555"/>
    <s v="CAME"/>
    <s v="P6_2_Z10_R18_CERT_36_ACTA_2843"/>
    <d v="2026-08-01T00:00:00"/>
    <d v="2026-08-31T00:00:00"/>
    <s v="G11"/>
    <x v="3"/>
    <x v="0"/>
    <s v="B-VP-20029-01301-PAR"/>
    <s v="SANCHEZ DE BUSTAMANTE 1302-1350  Par"/>
    <s v="ACEP"/>
    <s v="2P6-032"/>
    <s v="7.2_Recalce y Nivelación de tapas en Con"/>
    <s v="UN"/>
    <n v="1"/>
    <n v="0"/>
    <n v="0"/>
  </r>
  <r>
    <s v="6641556"/>
    <s v="CAME"/>
    <s v="P6_2_Z10_R18_CERT_36_ACTA_2836"/>
    <d v="2026-08-01T00:00:00"/>
    <d v="2026-08-31T00:00:00"/>
    <s v="G11"/>
    <x v="3"/>
    <x v="0"/>
    <s v="B-VP-01062-01701-PAR"/>
    <s v="ALVEAR, MARCELO T. DE 1702-1800  Par"/>
    <s v="ACEP"/>
    <s v="2P6-032"/>
    <s v="7.2_Recalce y Nivelación de tapas en Con"/>
    <s v="UN"/>
    <n v="1"/>
    <n v="0"/>
    <n v="0"/>
  </r>
  <r>
    <s v="6641557"/>
    <s v="CAME"/>
    <s v="P6_2_Z10_R18_CERT_36_ACTA_2857"/>
    <d v="2026-08-01T00:00:00"/>
    <d v="2026-08-31T00:00:00"/>
    <s v="G11"/>
    <x v="3"/>
    <x v="0"/>
    <s v="B-VP-20057-02001-IMP"/>
    <s v="SANTA FE AV. 2001-2099 Acera Impar"/>
    <s v="ACEP"/>
    <s v="2P6-032"/>
    <s v="7.2_Recalce y Nivelación de tapas en Con"/>
    <s v="UN"/>
    <n v="1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2P6-032"/>
    <s v="7.2_Recalce y Nivelación de tapas en Con"/>
    <s v="UN"/>
    <n v="1"/>
    <n v="0"/>
    <n v="0"/>
  </r>
  <r>
    <s v="6641559"/>
    <s v="CAME"/>
    <s v="P6_2_Z10_R18_CERT_36_ACTA_2822"/>
    <d v="2026-08-01T00:00:00"/>
    <d v="2026-08-31T00:00:00"/>
    <s v="G11"/>
    <x v="3"/>
    <x v="0"/>
    <s v="B-VP-20057-02302-PAR"/>
    <s v="SANTA FE AV. 2302-2400 Acera Par"/>
    <s v="ACEP"/>
    <s v="2P6-032"/>
    <s v="7.2_Recalce y Nivelación de tapas en Con"/>
    <s v="UN"/>
    <n v="1"/>
    <n v="0"/>
    <n v="0"/>
  </r>
  <r>
    <s v="6641581"/>
    <s v="CAME"/>
    <s v="P6_2_Z10_R18_CERT_36_ACTA_2823"/>
    <d v="2026-08-01T00:00:00"/>
    <d v="2026-08-31T00:00:00"/>
    <s v="G01"/>
    <x v="3"/>
    <x v="0"/>
    <s v="B-VP-20057-01501-IMP"/>
    <s v="SANTA FE AV. 1501-1599 Acera Impar"/>
    <s v="ACEP"/>
    <s v="2P6-032"/>
    <s v="7.2_Recalce y Nivelación de tapas en Con"/>
    <s v="UN"/>
    <n v="1"/>
    <n v="0"/>
    <n v="0"/>
  </r>
  <r>
    <s v="6641586"/>
    <s v="CAME"/>
    <s v="P6_2_Z10_R18_CERT_36_ACTA_2816"/>
    <d v="2026-08-01T00:00:00"/>
    <d v="2026-08-31T00:00:00"/>
    <s v="G01"/>
    <x v="3"/>
    <x v="0"/>
    <s v="B-VP-17132-02401-PAR"/>
    <s v="PUEYRREDON AV. 2402-2500 Acera Par"/>
    <s v="ACEP"/>
    <s v="2P6-032"/>
    <s v="7.2_Recalce y Nivelación de tapas en Con"/>
    <s v="UN"/>
    <n v="1"/>
    <n v="0"/>
    <n v="0"/>
  </r>
  <r>
    <s v="6641587"/>
    <s v="CAME"/>
    <s v="P6_2_Z10_R18_CERT_36_ACTA_2820"/>
    <d v="2026-08-01T00:00:00"/>
    <d v="2026-08-31T00:00:00"/>
    <s v="G11"/>
    <x v="3"/>
    <x v="0"/>
    <s v="B-VP-17132-02101-PAR"/>
    <s v="PUEYRREDON AV. 2102-2200 Acera Par"/>
    <s v="ACEP"/>
    <s v="2P6-032"/>
    <s v="7.2_Recalce y Nivelación de tapas en Con"/>
    <s v="UN"/>
    <n v="1"/>
    <n v="0"/>
    <n v="0"/>
  </r>
  <r>
    <s v="6641588"/>
    <s v="CAME"/>
    <s v="P6_2_Z10_R18_CERT_36_ACTA_2831"/>
    <d v="2026-08-01T00:00:00"/>
    <d v="2026-08-31T00:00:00"/>
    <s v="G01"/>
    <x v="3"/>
    <x v="0"/>
    <s v="B-VP-17132-01301-IMP"/>
    <s v="PUEYRREDON AV. 1301-1399 Acera Impar"/>
    <s v="ACEP"/>
    <s v="2P6-032"/>
    <s v="7.2_Recalce y Nivelación de tapas en Con"/>
    <s v="UN"/>
    <n v="1"/>
    <n v="0"/>
    <n v="0"/>
  </r>
  <r>
    <s v="6641589"/>
    <s v="CAME"/>
    <s v="P6_2_Z10_R18_CERT_36_ACTA_2817"/>
    <d v="2026-08-01T00:00:00"/>
    <d v="2026-08-31T00:00:00"/>
    <s v="G11"/>
    <x v="3"/>
    <x v="0"/>
    <s v="B-VP-07013-02401-PAR"/>
    <s v="GALILEO 2402-2430 Acera Par"/>
    <s v="ACEP"/>
    <s v="2P6-032"/>
    <s v="7.2_Recalce y Nivelación de tapas en Con"/>
    <s v="UN"/>
    <n v="1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32"/>
    <s v="7.2_Recalce y Nivelación de tapas en Con"/>
    <s v="UN"/>
    <n v="1"/>
    <n v="0"/>
    <n v="0"/>
  </r>
  <r>
    <s v="6642120"/>
    <s v="CAME"/>
    <s v="P6_2_Z10_R18_CERT_36_ACTA_2841"/>
    <d v="2026-08-01T00:00:00"/>
    <d v="2026-08-31T00:00:00"/>
    <s v="G11"/>
    <x v="3"/>
    <x v="0"/>
    <s v="B-VP-03165-03101-IMP"/>
    <s v="CORDOBA AV. 3101-3199 Acera Impar"/>
    <s v="ACEP"/>
    <s v="2P6-032"/>
    <s v="7.2_Recalce y Nivelación de tapas en Con"/>
    <s v="UN"/>
    <n v="1"/>
    <n v="0"/>
    <n v="0"/>
  </r>
  <r>
    <s v="6642121"/>
    <s v="CAME"/>
    <s v="P6_2_Z10_R18_CERT_36_ACTA_2828"/>
    <d v="2026-08-01T00:00:00"/>
    <d v="2026-08-31T00:00:00"/>
    <s v="G11"/>
    <x v="3"/>
    <x v="0"/>
    <s v="B-VP-20057-02291-IMP"/>
    <s v="SANTA FE AV. 2291-2399 Acera Impar"/>
    <s v="ACEP"/>
    <s v="2P6-032"/>
    <s v="7.2_Recalce y Nivelación de tapas en Con"/>
    <s v="UN"/>
    <n v="1"/>
    <n v="0"/>
    <n v="0"/>
  </r>
  <r>
    <s v=""/>
    <s v=""/>
    <s v=""/>
    <m/>
    <m/>
    <s v=""/>
    <x v="4"/>
    <x v="1"/>
    <s v=""/>
    <s v=""/>
    <s v=""/>
    <s v="2P6-032"/>
    <s v=""/>
    <s v=""/>
    <n v="31"/>
    <n v="38909.51"/>
    <n v="1206194.81"/>
  </r>
  <r>
    <s v="6637752"/>
    <s v="CAME"/>
    <s v="P6_2_Z10_R18_CERT_36_ACTA_2792"/>
    <d v="2026-08-01T00:00:00"/>
    <d v="2026-08-31T00:00:00"/>
    <s v="G13"/>
    <x v="5"/>
    <x v="0"/>
    <s v="B-VP-01050-00301-CAL"/>
    <s v="ALVAR NUÑEZ 301-400 Calzada"/>
    <s v="ACEP"/>
    <s v="2P6-048"/>
    <s v="9.3_De Hormigón peinado"/>
    <s v="M2"/>
    <n v="31.9"/>
    <n v="0"/>
    <n v="0"/>
  </r>
  <r>
    <s v=""/>
    <s v=""/>
    <s v=""/>
    <m/>
    <m/>
    <s v=""/>
    <x v="4"/>
    <x v="1"/>
    <s v=""/>
    <s v=""/>
    <s v=""/>
    <s v="2P6-048"/>
    <s v=""/>
    <s v=""/>
    <n v="31.9"/>
    <n v="19383.27"/>
    <n v="618326.31299999997"/>
  </r>
  <r>
    <s v="6606648"/>
    <s v="CAME"/>
    <s v="P6_2_Z10_R18_CERT_36_ACTA_2790"/>
    <d v="2026-08-01T00:00:00"/>
    <d v="2026-08-31T00:00:00"/>
    <s v="G13"/>
    <x v="0"/>
    <x v="0"/>
    <s v="B-VP-04017-01601-PAR"/>
    <s v="DEHEZA 1602-1700 Acera Par"/>
    <s v="ACEP"/>
    <s v="2P6-050"/>
    <s v="10.2_Bacheo profundo"/>
    <s v="T"/>
    <n v="21.6"/>
    <n v="0"/>
    <n v="0"/>
  </r>
  <r>
    <s v="6628517"/>
    <s v="CAME"/>
    <s v="P6_2_Z10_R18_CERT_36_ACTA_2810"/>
    <d v="2026-08-01T00:00:00"/>
    <d v="2026-08-31T00:00:00"/>
    <s v="G02"/>
    <x v="1"/>
    <x v="0"/>
    <s v="B-VP-14012-04701-IMP"/>
    <s v="NAZCA 4701-4799 Acera Impar"/>
    <s v="ACEP"/>
    <s v="2P6-050"/>
    <s v="10.2_Bacheo profundo"/>
    <s v="T"/>
    <n v="1.7"/>
    <n v="0"/>
    <n v="0"/>
  </r>
  <r>
    <s v="6639098"/>
    <s v="CAME"/>
    <s v="P6_2_Z10_R18_CERT_36_ACTA_2807"/>
    <d v="2026-08-01T00:00:00"/>
    <d v="2026-08-31T00:00:00"/>
    <s v="G01"/>
    <x v="1"/>
    <x v="0"/>
    <s v="B-VP-03200-04101-CAL"/>
    <s v="CUENCA 4101-4200 Calzada"/>
    <s v="ACEP"/>
    <s v="2P6-050"/>
    <s v="10.2_Bacheo profundo"/>
    <s v="T"/>
    <n v="1.8"/>
    <n v="0"/>
    <n v="0"/>
  </r>
  <r>
    <s v="6639098"/>
    <s v="CAME"/>
    <s v="P6_2_Z10_R18_CERT_36_ACTA_2807"/>
    <d v="2026-08-01T00:00:00"/>
    <d v="2026-08-31T00:00:00"/>
    <s v="G01"/>
    <x v="1"/>
    <x v="0"/>
    <s v="B-VP-03200-04101-CAL"/>
    <s v="CUENCA 4101-4200 Calzada"/>
    <s v="ACEP"/>
    <s v="2P6-050"/>
    <s v="10.2_Bacheo profundo"/>
    <s v="T"/>
    <n v="2.5"/>
    <n v="0"/>
    <n v="0"/>
  </r>
  <r>
    <s v="6639100"/>
    <s v="CAME"/>
    <s v="P6_2_Z10_R18_CERT_36_ACTA_2808"/>
    <d v="2026-08-01T00:00:00"/>
    <d v="2026-08-31T00:00:00"/>
    <s v="G01"/>
    <x v="1"/>
    <x v="0"/>
    <s v="B-VP-03200-04101-CAL"/>
    <s v="CUENCA 4101-4200 Calzada"/>
    <s v="ACEP"/>
    <s v="2P6-050"/>
    <s v="10.2_Bacheo profundo"/>
    <s v="T"/>
    <n v="4"/>
    <n v="0"/>
    <n v="0"/>
  </r>
  <r>
    <s v="6639100"/>
    <s v="CAME"/>
    <s v="P6_2_Z10_R18_CERT_36_ACTA_2808"/>
    <d v="2026-08-01T00:00:00"/>
    <d v="2026-08-31T00:00:00"/>
    <s v="G01"/>
    <x v="1"/>
    <x v="0"/>
    <s v="B-VP-03200-04101-CAL"/>
    <s v="CUENCA 4101-4200 Calzada"/>
    <s v="ACEP"/>
    <s v="2P6-050"/>
    <s v="10.2_Bacheo profundo"/>
    <s v="T"/>
    <n v="2.9"/>
    <n v="0"/>
    <n v="0"/>
  </r>
  <r>
    <s v="6640301"/>
    <s v="CAME"/>
    <s v="P6_2_Z10_R18_CERT_36_ACTA_2844"/>
    <d v="2026-08-01T00:00:00"/>
    <d v="2026-08-31T00:00:00"/>
    <s v="G01"/>
    <x v="1"/>
    <x v="0"/>
    <s v="B-VP-01009-03501"/>
    <s v="ACHA, MARIANO, Gral. 3501-3600"/>
    <s v="ACEP"/>
    <s v="2P6-050"/>
    <s v="10.2_Bacheo profundo"/>
    <s v="T"/>
    <n v="1.9"/>
    <n v="0"/>
    <n v="0"/>
  </r>
  <r>
    <s v="6640750"/>
    <s v="CAME"/>
    <s v="P6_2_Z10_R18_CERT_36_ACTA_2811"/>
    <d v="2026-08-01T00:00:00"/>
    <d v="2026-08-31T00:00:00"/>
    <s v="G01"/>
    <x v="1"/>
    <x v="0"/>
    <s v="B-VP-14012-04901-CAL"/>
    <s v="NAZCA 4901-5000 Calzada"/>
    <s v="ACEP"/>
    <s v="2P6-050"/>
    <s v="10.2_Bacheo profundo"/>
    <s v="T"/>
    <n v="5.0999999999999996"/>
    <n v="0"/>
    <n v="0"/>
  </r>
  <r>
    <s v="6640755"/>
    <s v="CAME"/>
    <s v="P6_2_Z10_R18_CERT_36_ACTA_2845"/>
    <d v="2026-08-01T00:00:00"/>
    <d v="2026-08-31T00:00:00"/>
    <s v="G01"/>
    <x v="1"/>
    <x v="0"/>
    <s v="B-VP-12151-03801-IMP"/>
    <s v="LUGONES 3801-3899 Acera Impar"/>
    <s v="ACEP"/>
    <s v="2P6-050"/>
    <s v="10.2_Bacheo profundo"/>
    <s v="T"/>
    <n v="12.3"/>
    <n v="0"/>
    <n v="0"/>
  </r>
  <r>
    <s v="6640902"/>
    <s v="CAME"/>
    <s v="P6_2_Z10_R18_CERT_36_ACTA_2809"/>
    <d v="2026-08-01T00:00:00"/>
    <d v="2026-08-31T00:00:00"/>
    <s v="G01"/>
    <x v="8"/>
    <x v="0"/>
    <s v="B-VP-19092-01252-CAL"/>
    <s v="RUIZ DE LOS LLANOS 1252-1300 Calzada"/>
    <s v="ACEP"/>
    <s v="2P6-050"/>
    <s v="10.2_Bacheo profundo"/>
    <s v="T"/>
    <n v="2"/>
    <n v="0"/>
    <n v="0"/>
  </r>
  <r>
    <s v="6640902"/>
    <s v="CAME"/>
    <s v="P6_2_Z10_R18_CERT_36_ACTA_2809"/>
    <d v="2026-08-01T00:00:00"/>
    <d v="2026-08-31T00:00:00"/>
    <s v="G01"/>
    <x v="8"/>
    <x v="0"/>
    <s v="B-VP-19092-01252-CAL"/>
    <s v="RUIZ DE LOS LLANOS 1252-1300 Calzada"/>
    <s v="ACEP"/>
    <s v="2P6-050"/>
    <s v="10.2_Bacheo profundo"/>
    <s v="T"/>
    <n v="11.3"/>
    <n v="0"/>
    <n v="0"/>
  </r>
  <r>
    <s v="6641493"/>
    <s v="CAME"/>
    <s v="P6_2_Z10_R18_CERT_36_ACTA_2839"/>
    <d v="2026-08-01T00:00:00"/>
    <d v="2026-08-31T00:00:00"/>
    <s v="G11"/>
    <x v="6"/>
    <x v="0"/>
    <s v="B-VP-12106-01001-PAR"/>
    <s v="LIBERTAD 1002-1100 Acera Par"/>
    <s v="ACEP"/>
    <s v="2P6-050"/>
    <s v="10.2_Bacheo profundo"/>
    <s v="T"/>
    <n v="1.7"/>
    <n v="0"/>
    <n v="0"/>
  </r>
  <r>
    <s v="6641499"/>
    <s v="CAME"/>
    <s v="P6_2_Z10_R18_CERT_36_ACTA_2838"/>
    <d v="2026-08-01T00:00:00"/>
    <d v="2026-08-31T00:00:00"/>
    <s v="G11"/>
    <x v="6"/>
    <x v="0"/>
    <s v="B-VP-03165-01701-PAR"/>
    <s v="CORDOBA AV. 1702-1800 Acera Par"/>
    <s v="ACEP"/>
    <s v="2P6-050"/>
    <s v="10.2_Bacheo profundo"/>
    <s v="T"/>
    <n v="2.7"/>
    <n v="0"/>
    <n v="0"/>
  </r>
  <r>
    <s v="6641511"/>
    <s v="CAME"/>
    <s v="P6_2_Z10_R18_CERT_36_ACTA_2837"/>
    <d v="2026-08-01T00:00:00"/>
    <d v="2026-08-31T00:00:00"/>
    <s v="G11"/>
    <x v="3"/>
    <x v="0"/>
    <s v="B-VP-20057-01801-IMP"/>
    <s v="SANTA FE AV. 1801-1899 Acera Impar"/>
    <s v="ACEP"/>
    <s v="2P6-050"/>
    <s v="10.2_Bacheo profundo"/>
    <s v="T"/>
    <n v="1.4"/>
    <n v="0"/>
    <n v="0"/>
  </r>
  <r>
    <s v="6641518"/>
    <s v="CAME"/>
    <s v="P6_2_Z10_R18_CERT_36_ACTA_2840"/>
    <d v="2026-08-01T00:00:00"/>
    <d v="2026-08-31T00:00:00"/>
    <s v="G11"/>
    <x v="3"/>
    <x v="0"/>
    <s v="B-VP-17132-01301-IMP"/>
    <s v="PUEYRREDON AV. 1301-1399 Acera Impar"/>
    <s v="ACEP"/>
    <s v="2P6-050"/>
    <s v="10.2_Bacheo profundo"/>
    <s v="T"/>
    <n v="1.4"/>
    <n v="0"/>
    <n v="0"/>
  </r>
  <r>
    <s v="6641542"/>
    <s v="CAME"/>
    <s v="P6_2_Z10_R18_CERT_36_ACTA_2830"/>
    <d v="2026-08-01T00:00:00"/>
    <d v="2026-08-31T00:00:00"/>
    <s v="G11"/>
    <x v="3"/>
    <x v="0"/>
    <s v="B-VP-20057-02601-IMP"/>
    <s v="SANTA FE AV. 2601-2699 Acera Impar"/>
    <s v="ACEP"/>
    <s v="2P6-050"/>
    <s v="10.2_Bacheo profundo"/>
    <s v="T"/>
    <n v="2.4"/>
    <n v="0"/>
    <n v="0"/>
  </r>
  <r>
    <s v="6641544"/>
    <s v="CAME"/>
    <s v="P6_2_Z10_R18_CERT_36_ACTA_2833"/>
    <d v="2026-08-01T00:00:00"/>
    <d v="2026-08-31T00:00:00"/>
    <s v="G11"/>
    <x v="3"/>
    <x v="0"/>
    <s v="B-VP-20057-01701-PAR"/>
    <s v="SANTA FE AV. 1702-1800 Acera Par"/>
    <s v="ACEP"/>
    <s v="2P6-050"/>
    <s v="10.2_Bacheo profundo"/>
    <s v="T"/>
    <n v="2.2000000000000002"/>
    <n v="0"/>
    <n v="0"/>
  </r>
  <r>
    <s v="6641545"/>
    <s v="CAME"/>
    <s v="P6_2_Z10_R18_CERT_36_ACTA_2835"/>
    <d v="2026-08-01T00:00:00"/>
    <d v="2026-08-31T00:00:00"/>
    <s v="G11"/>
    <x v="3"/>
    <x v="0"/>
    <s v="B-VP-20057-01801-PAR"/>
    <s v="SANTA FE AV. 1802-1900 Acera Par"/>
    <s v="ACEP"/>
    <s v="2P6-050"/>
    <s v="10.2_Bacheo profundo"/>
    <s v="T"/>
    <n v="3.2"/>
    <n v="0"/>
    <n v="0"/>
  </r>
  <r>
    <s v="6641547"/>
    <s v="CAME"/>
    <s v="P6_2_Z10_R18_CERT_36_ACTA_2832"/>
    <d v="2026-08-01T00:00:00"/>
    <d v="2026-08-31T00:00:00"/>
    <s v="G11"/>
    <x v="3"/>
    <x v="0"/>
    <s v="B-VP-20057-02001-PAR"/>
    <s v="SANTA FE AV. 2002-2100 Acera Par"/>
    <s v="ACEP"/>
    <s v="2P6-050"/>
    <s v="10.2_Bacheo profundo"/>
    <s v="T"/>
    <n v="1.8"/>
    <n v="0"/>
    <n v="0"/>
  </r>
  <r>
    <s v="6641550"/>
    <s v="CAME"/>
    <s v="P6_2_Z10_R18_CERT_36_ACTA_2815"/>
    <d v="2026-08-01T00:00:00"/>
    <d v="2026-08-31T00:00:00"/>
    <s v="G11"/>
    <x v="3"/>
    <x v="0"/>
    <s v="B-VP-17132-01201-PAR"/>
    <s v="PUEYRREDON AV. 1202-1300 Acera Par"/>
    <s v="ACEP"/>
    <s v="2P6-050"/>
    <s v="10.2_Bacheo profundo"/>
    <s v="T"/>
    <n v="1.5"/>
    <n v="0"/>
    <n v="0"/>
  </r>
  <r>
    <s v="6641551"/>
    <s v="CAME"/>
    <s v="P6_2_Z10_R18_CERT_36_ACTA_2829"/>
    <d v="2026-08-01T00:00:00"/>
    <d v="2026-08-31T00:00:00"/>
    <s v="G11"/>
    <x v="3"/>
    <x v="0"/>
    <s v="B-VP-17132-01701-PAR"/>
    <s v="PUEYRREDON AV. 1702-1800 Acera Par"/>
    <s v="ACEP"/>
    <s v="2P6-050"/>
    <s v="10.2_Bacheo profundo"/>
    <s v="T"/>
    <n v="1.7"/>
    <n v="0"/>
    <n v="0"/>
  </r>
  <r>
    <s v="6641552"/>
    <s v="CAME"/>
    <s v="P6_2_Z10_R18_CERT_36_ACTA_2827"/>
    <d v="2026-08-01T00:00:00"/>
    <d v="2026-08-31T00:00:00"/>
    <s v="G11"/>
    <x v="3"/>
    <x v="0"/>
    <s v="B-VP-20057-02291-IMP"/>
    <s v="SANTA FE AV. 2291-2399 Acera Impar"/>
    <s v="ACEP"/>
    <s v="2P6-050"/>
    <s v="10.2_Bacheo profundo"/>
    <s v="T"/>
    <n v="1"/>
    <n v="0"/>
    <n v="0"/>
  </r>
  <r>
    <s v="6641556"/>
    <s v="CAME"/>
    <s v="P6_2_Z10_R18_CERT_36_ACTA_2836"/>
    <d v="2026-08-01T00:00:00"/>
    <d v="2026-08-31T00:00:00"/>
    <s v="G11"/>
    <x v="3"/>
    <x v="0"/>
    <s v="B-VP-01062-01701-PAR"/>
    <s v="ALVEAR, MARCELO T. DE 1702-1800  Par"/>
    <s v="ACEP"/>
    <s v="2P6-050"/>
    <s v="10.2_Bacheo profundo"/>
    <s v="T"/>
    <n v="2.2999999999999998"/>
    <n v="0"/>
    <n v="0"/>
  </r>
  <r>
    <s v="6641557"/>
    <s v="CAME"/>
    <s v="P6_2_Z10_R18_CERT_36_ACTA_2857"/>
    <d v="2026-08-01T00:00:00"/>
    <d v="2026-08-31T00:00:00"/>
    <s v="G11"/>
    <x v="3"/>
    <x v="0"/>
    <s v="B-VP-20057-02001-IMP"/>
    <s v="SANTA FE AV. 2001-2099 Acera Impar"/>
    <s v="ACEP"/>
    <s v="2P6-050"/>
    <s v="10.2_Bacheo profundo"/>
    <s v="T"/>
    <n v="1.3"/>
    <n v="0"/>
    <n v="0"/>
  </r>
  <r>
    <s v="6641558"/>
    <s v="CAME"/>
    <s v="P6_2_Z10_R18_CERT_36_ACTA_2834"/>
    <d v="2026-08-01T00:00:00"/>
    <d v="2026-08-31T00:00:00"/>
    <s v="G11"/>
    <x v="3"/>
    <x v="0"/>
    <s v="B-VP-20057-01601-IMP"/>
    <s v="SANTA FE AV. 1601-1699 Acera Impar"/>
    <s v="ACEP"/>
    <s v="2P6-050"/>
    <s v="10.2_Bacheo profundo"/>
    <s v="T"/>
    <n v="1.6"/>
    <n v="0"/>
    <n v="0"/>
  </r>
  <r>
    <s v="6641588"/>
    <s v="CAME"/>
    <s v="P6_2_Z10_R18_CERT_36_ACTA_2831"/>
    <d v="2026-08-01T00:00:00"/>
    <d v="2026-08-31T00:00:00"/>
    <s v="G01"/>
    <x v="3"/>
    <x v="0"/>
    <s v="B-VP-17132-01301-IMP"/>
    <s v="PUEYRREDON AV. 1301-1399 Acera Impar"/>
    <s v="ACEP"/>
    <s v="2P6-050"/>
    <s v="10.2_Bacheo profundo"/>
    <s v="T"/>
    <n v="1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50"/>
    <s v="10.2_Bacheo profundo"/>
    <s v="T"/>
    <n v="4.0999999999999996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50"/>
    <s v="10.2_Bacheo profundo"/>
    <s v="T"/>
    <n v="6.8"/>
    <n v="0"/>
    <n v="0"/>
  </r>
  <r>
    <s v="6641760"/>
    <s v="CAME"/>
    <s v="P6_2_Z10_R18_CERT_36_ACTA_2795"/>
    <d v="2026-08-01T00:00:00"/>
    <d v="2026-08-31T00:00:00"/>
    <s v="G01"/>
    <x v="1"/>
    <x v="0"/>
    <s v="B-VP-03156-04501-PAR"/>
    <s v="CONGRESO AV. 4502-4600 Acera Par"/>
    <s v="ACEP"/>
    <s v="2P6-050"/>
    <s v="10.2_Bacheo profundo"/>
    <s v="T"/>
    <n v="0.9"/>
    <n v="0"/>
    <n v="0"/>
  </r>
  <r>
    <s v="6642120"/>
    <s v="CAME"/>
    <s v="P6_2_Z10_R18_CERT_36_ACTA_2841"/>
    <d v="2026-08-01T00:00:00"/>
    <d v="2026-08-31T00:00:00"/>
    <s v="G11"/>
    <x v="3"/>
    <x v="0"/>
    <s v="B-VP-03165-03101-IMP"/>
    <s v="CORDOBA AV. 3101-3199 Acera Impar"/>
    <s v="ACEP"/>
    <s v="2P6-050"/>
    <s v="10.2_Bacheo profundo"/>
    <s v="T"/>
    <n v="1.2"/>
    <n v="0"/>
    <n v="0"/>
  </r>
  <r>
    <s v="6642121"/>
    <s v="CAME"/>
    <s v="P6_2_Z10_R18_CERT_36_ACTA_2828"/>
    <d v="2026-08-01T00:00:00"/>
    <d v="2026-08-31T00:00:00"/>
    <s v="G11"/>
    <x v="3"/>
    <x v="0"/>
    <s v="B-VP-20057-02291-IMP"/>
    <s v="SANTA FE AV. 2291-2399 Acera Impar"/>
    <s v="ACEP"/>
    <s v="2P6-050"/>
    <s v="10.2_Bacheo profundo"/>
    <s v="T"/>
    <n v="3.5"/>
    <n v="0"/>
    <n v="0"/>
  </r>
  <r>
    <s v="6642785"/>
    <s v="CAME"/>
    <s v="P6_2_Z10_R18_CERT_36_ACTA_2870"/>
    <d v="2026-08-01T00:00:00"/>
    <d v="2026-08-31T00:00:00"/>
    <s v="G01"/>
    <x v="1"/>
    <x v="0"/>
    <s v="B-VP-01110-05101-CAL"/>
    <s v="ARGERICH 5101-5200 Calzada"/>
    <s v="ACEP"/>
    <s v="2P6-050"/>
    <s v="10.2_Bacheo profundo"/>
    <s v="T"/>
    <n v="4.2"/>
    <n v="0"/>
    <n v="0"/>
  </r>
  <r>
    <s v="6642787"/>
    <s v="CAME"/>
    <s v="P6_2_Z10_R18_CERT_36_ACTA_2869"/>
    <d v="2026-08-01T00:00:00"/>
    <d v="2026-08-31T00:00:00"/>
    <s v="G01"/>
    <x v="1"/>
    <x v="0"/>
    <s v="B-VP-01110-05101-CAL"/>
    <s v="ARGERICH 5101-5200 Calzada"/>
    <s v="ACEP"/>
    <s v="2P6-050"/>
    <s v="10.2_Bacheo profundo"/>
    <s v="T"/>
    <n v="7.1"/>
    <n v="0"/>
    <n v="0"/>
  </r>
  <r>
    <s v="6642787"/>
    <s v="CAME"/>
    <s v="P6_2_Z10_R18_CERT_36_ACTA_2869"/>
    <d v="2026-08-01T00:00:00"/>
    <d v="2026-08-31T00:00:00"/>
    <s v="G01"/>
    <x v="1"/>
    <x v="0"/>
    <s v="B-VP-01110-05101-CAL"/>
    <s v="ARGERICH 5101-5200 Calzada"/>
    <s v="ACEP"/>
    <s v="2P6-050"/>
    <s v="10.2_Bacheo profundo"/>
    <s v="T"/>
    <n v="0.8"/>
    <n v="0"/>
    <n v="0"/>
  </r>
  <r>
    <s v="6642789"/>
    <s v="CAME"/>
    <s v="P6_2_Z10_R18_CERT_36_ACTA_2847"/>
    <d v="2026-08-01T00:00:00"/>
    <d v="2026-08-31T00:00:00"/>
    <s v="G01"/>
    <x v="1"/>
    <x v="0"/>
    <s v="B-VP-01009-01801-CAL"/>
    <s v="ACHA, MARIANO, Gral. 1801-1900 Calzada"/>
    <s v="ACEP"/>
    <s v="2P6-050"/>
    <s v="10.2_Bacheo profundo"/>
    <s v="T"/>
    <n v="2.2999999999999998"/>
    <n v="0"/>
    <n v="0"/>
  </r>
  <r>
    <s v="6642790"/>
    <s v="CAME"/>
    <s v="P6_2_Z10_R18_CERT_36_ACTA_2846"/>
    <d v="2026-08-01T00:00:00"/>
    <d v="2026-08-31T00:00:00"/>
    <s v="G01"/>
    <x v="1"/>
    <x v="0"/>
    <s v="B-VP-19002-03101-IMP"/>
    <s v="RAMALLO 3101-3199 Acera Impar"/>
    <s v="ACEP"/>
    <s v="2P6-050"/>
    <s v="10.2_Bacheo profundo"/>
    <s v="T"/>
    <n v="3.8"/>
    <n v="0"/>
    <n v="0"/>
  </r>
  <r>
    <s v="6643740"/>
    <s v="CAME"/>
    <s v="P6_2_Z10_R18_CERT_36_ACTA_2848"/>
    <d v="2026-08-01T00:00:00"/>
    <d v="2026-08-31T00:00:00"/>
    <s v="G01"/>
    <x v="9"/>
    <x v="0"/>
    <s v="B-VP-01141-00501-PAR"/>
    <s v="AVELLANEDA 502-600 Acera Par"/>
    <s v="ACEP"/>
    <s v="2P6-050"/>
    <s v="10.2_Bacheo profundo"/>
    <s v="T"/>
    <n v="1.5"/>
    <n v="0"/>
    <n v="0"/>
  </r>
  <r>
    <s v="6643740"/>
    <s v="CAME"/>
    <s v="P6_2_Z10_R18_CERT_36_ACTA_2848"/>
    <d v="2026-08-01T00:00:00"/>
    <d v="2026-08-31T00:00:00"/>
    <s v="G01"/>
    <x v="9"/>
    <x v="0"/>
    <s v="B-VP-01141-00501-PAR"/>
    <s v="AVELLANEDA 502-600 Acera Par"/>
    <s v="ACEP"/>
    <s v="2P6-050"/>
    <s v="10.2_Bacheo profundo"/>
    <s v="T"/>
    <n v="1.1000000000000001"/>
    <n v="0"/>
    <n v="0"/>
  </r>
  <r>
    <s v=""/>
    <s v=""/>
    <s v=""/>
    <m/>
    <m/>
    <s v=""/>
    <x v="4"/>
    <x v="1"/>
    <s v=""/>
    <s v=""/>
    <s v=""/>
    <s v="2P6-050"/>
    <s v=""/>
    <s v=""/>
    <n v="131.6"/>
    <n v="77482.2"/>
    <n v="10196657.52"/>
  </r>
  <r>
    <s v=""/>
    <s v=""/>
    <s v=""/>
    <m/>
    <m/>
    <s v=""/>
    <x v="4"/>
    <x v="1"/>
    <s v=""/>
    <s v=""/>
    <s v=""/>
    <s v=""/>
    <s v=""/>
    <s v=""/>
    <n v="3464.2"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  <r>
    <m/>
    <m/>
    <m/>
    <m/>
    <m/>
    <m/>
    <x v="10"/>
    <x v="2"/>
    <m/>
    <m/>
    <m/>
    <m/>
    <m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L7:L8" firstHeaderRow="1" firstDataRow="1" firstDataCol="0"/>
  <pivotFields count="17">
    <pivotField showAll="0"/>
    <pivotField showAll="0"/>
    <pivotField showAll="0"/>
    <pivotField numFmtId="14" showAll="0"/>
    <pivotField numFmtId="14"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numFmtId="166" showAll="0"/>
    <pivotField numFmtId="4" showAll="0"/>
    <pivotField dataField="1" showAll="0"/>
  </pivotFields>
  <rowItems count="1">
    <i/>
  </rowItems>
  <colItems count="1">
    <i/>
  </colItems>
  <dataFields count="1">
    <dataField name="Estimado " fld="16" baseField="7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4:C8" firstHeaderRow="1" firstDataRow="1" firstDataCol="1"/>
  <pivotFields count="17"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 sortType="ascending">
      <items count="39">
        <item x="1"/>
        <item m="1" x="34"/>
        <item m="1" x="27"/>
        <item m="1" x="20"/>
        <item m="1" x="13"/>
        <item m="1" x="8"/>
        <item m="1" x="35"/>
        <item m="1" x="29"/>
        <item m="1" x="21"/>
        <item m="1" x="14"/>
        <item m="1" x="31"/>
        <item m="1" x="16"/>
        <item m="1" x="9"/>
        <item m="1" x="37"/>
        <item m="1" x="32"/>
        <item m="1" x="23"/>
        <item m="1" x="17"/>
        <item m="1" x="10"/>
        <item m="1" x="6"/>
        <item m="1" x="33"/>
        <item m="1" x="25"/>
        <item m="1" x="18"/>
        <item m="1" x="11"/>
        <item m="1" x="7"/>
        <item m="1" x="26"/>
        <item m="1" x="19"/>
        <item m="1" x="12"/>
        <item m="1" x="5"/>
        <item m="1" x="28"/>
        <item m="1" x="36"/>
        <item m="1" x="30"/>
        <item m="1" x="3"/>
        <item m="1" x="15"/>
        <item m="1" x="22"/>
        <item x="0"/>
        <item m="1" x="4"/>
        <item m="1" x="2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6" showAll="0"/>
    <pivotField numFmtId="4" showAll="0"/>
    <pivotField dataField="1" showAll="0"/>
  </pivotFields>
  <rowFields count="1">
    <field x="7"/>
  </rowFields>
  <rowItems count="4">
    <i>
      <x/>
    </i>
    <i>
      <x v="34"/>
    </i>
    <i>
      <x v="37"/>
    </i>
    <i t="grand">
      <x/>
    </i>
  </rowItems>
  <colItems count="1">
    <i/>
  </colItems>
  <dataFields count="1">
    <dataField name="Estimado" fld="16" baseField="5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G4:H16" firstHeaderRow="1" firstDataRow="1" firstDataCol="1"/>
  <pivotFields count="17">
    <pivotField showAll="0"/>
    <pivotField showAll="0"/>
    <pivotField showAll="0"/>
    <pivotField numFmtId="14" showAll="0"/>
    <pivotField numFmtId="14" showAll="0"/>
    <pivotField showAll="0"/>
    <pivotField axis="axisRow" showAll="0">
      <items count="18">
        <item x="6"/>
        <item x="3"/>
        <item x="2"/>
        <item x="5"/>
        <item m="1" x="13"/>
        <item x="9"/>
        <item m="1" x="11"/>
        <item m="1" x="15"/>
        <item m="1" x="14"/>
        <item x="8"/>
        <item x="7"/>
        <item x="1"/>
        <item x="0"/>
        <item m="1" x="12"/>
        <item m="1" x="16"/>
        <item x="4"/>
        <item x="10"/>
        <item t="default"/>
      </items>
    </pivotField>
    <pivotField showAll="0" sortType="ascending"/>
    <pivotField showAll="0"/>
    <pivotField showAll="0"/>
    <pivotField showAll="0"/>
    <pivotField showAll="0"/>
    <pivotField showAll="0"/>
    <pivotField showAll="0"/>
    <pivotField numFmtId="166" showAll="0"/>
    <pivotField numFmtId="4"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5"/>
    </i>
    <i>
      <x v="9"/>
    </i>
    <i>
      <x v="10"/>
    </i>
    <i>
      <x v="11"/>
    </i>
    <i>
      <x v="12"/>
    </i>
    <i>
      <x v="15"/>
    </i>
    <i>
      <x v="16"/>
    </i>
    <i t="grand">
      <x/>
    </i>
  </rowItems>
  <colItems count="1">
    <i/>
  </colItems>
  <dataFields count="1">
    <dataField name="Estimado" fld="16" baseField="5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Q813" totalsRowShown="0" headerRowDxfId="19" headerRowBorderDxfId="18" tableBorderDxfId="17">
  <autoFilter ref="A1:Q813" xr:uid="{00000000-0009-0000-0100-000001000000}"/>
  <sortState xmlns:xlrd2="http://schemas.microsoft.com/office/spreadsheetml/2017/richdata2" ref="A2:Q2">
    <sortCondition ref="C2"/>
  </sortState>
  <tableColumns count="17">
    <tableColumn id="1" xr3:uid="{00000000-0010-0000-0000-000001000000}" name="N° de Orden" dataDxfId="16"/>
    <tableColumn id="2" xr3:uid="{00000000-0010-0000-0000-000002000000}" name="Clase de Orden" dataDxfId="15"/>
    <tableColumn id="3" xr3:uid="{00000000-0010-0000-0000-000003000000}" name="Texto Breve de Orden" dataDxfId="14"/>
    <tableColumn id="4" xr3:uid="{00000000-0010-0000-0000-000004000000}" name="Inic. extr." dataDxfId="13"/>
    <tableColumn id="5" xr3:uid="{00000000-0010-0000-0000-000005000000}" name="Fin extr." dataDxfId="12"/>
    <tableColumn id="6" xr3:uid="{00000000-0010-0000-0000-000006000000}" name="Clase Actividad" dataDxfId="11"/>
    <tableColumn id="7" xr3:uid="{00000000-0010-0000-0000-000007000000}" name="Area empresa" dataDxfId="10"/>
    <tableColumn id="8" xr3:uid="{00000000-0010-0000-0000-000008000000}" name="Pto.tbjo.responsable" dataDxfId="9"/>
    <tableColumn id="9" xr3:uid="{00000000-0010-0000-0000-000009000000}" name="Ubicación Técnica" dataDxfId="8"/>
    <tableColumn id="10" xr3:uid="{00000000-0010-0000-0000-00000A000000}" name="Denominación de la ubicación técnica" dataDxfId="7"/>
    <tableColumn id="18" xr3:uid="{00000000-0010-0000-0000-000012000000}" name="Status Usuario Orden" dataDxfId="6"/>
    <tableColumn id="11" xr3:uid="{00000000-0010-0000-0000-00000B000000}" name="Clave de Modelo" dataDxfId="5"/>
    <tableColumn id="12" xr3:uid="{00000000-0010-0000-0000-00000C000000}" name="Descripcion Operación" dataDxfId="4"/>
    <tableColumn id="13" xr3:uid="{00000000-0010-0000-0000-00000D000000}" name="Unidad Medida" dataDxfId="3"/>
    <tableColumn id="14" xr3:uid="{00000000-0010-0000-0000-00000E000000}" name="Cantidad Realizada" dataDxfId="2"/>
    <tableColumn id="16" xr3:uid="{00000000-0010-0000-0000-000010000000}" name="VxU" dataDxfId="1">
      <calculatedColumnFormula>IF(AND(Tabla1[[#This Row],[Pto.tbjo.responsable]]="",Tabla1[[#This Row],[Clave de Modelo]]&lt;&gt;""),VLOOKUP(Tabla1[[#This Row],[Clave de Modelo]],Preciario!$D$1:$Z$176,MATCH($H$2,Preciario!$D$1:$Z$1,0),FALSE),0)</calculatedColumnFormula>
    </tableColumn>
    <tableColumn id="17" xr3:uid="{00000000-0010-0000-0000-000011000000}" name="Vtotal" dataDxfId="0">
      <calculatedColumnFormula>Tabla1[[#This Row],[Cantidad Realizada]]*Tabla1[[#This Row],[VxU]]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zoomScale="85" zoomScaleNormal="85" workbookViewId="0">
      <selection activeCell="G47" sqref="G47"/>
    </sheetView>
  </sheetViews>
  <sheetFormatPr baseColWidth="10" defaultColWidth="11.42578125" defaultRowHeight="15" x14ac:dyDescent="0.25"/>
  <cols>
    <col min="1" max="1" width="6.85546875" bestFit="1" customWidth="1"/>
    <col min="2" max="2" width="77.5703125" customWidth="1"/>
    <col min="3" max="3" width="11.42578125" style="13"/>
  </cols>
  <sheetData>
    <row r="1" spans="1:4" x14ac:dyDescent="0.25">
      <c r="A1" t="s">
        <v>227</v>
      </c>
      <c r="B1" t="s">
        <v>165</v>
      </c>
      <c r="C1" s="13" t="s">
        <v>228</v>
      </c>
      <c r="D1" t="s">
        <v>229</v>
      </c>
    </row>
    <row r="2" spans="1:4" x14ac:dyDescent="0.25">
      <c r="A2" s="6" t="s">
        <v>0</v>
      </c>
      <c r="B2" s="7" t="s">
        <v>1</v>
      </c>
      <c r="C2" s="13">
        <v>348.74</v>
      </c>
      <c r="D2" s="8" t="s">
        <v>2</v>
      </c>
    </row>
    <row r="3" spans="1:4" x14ac:dyDescent="0.25">
      <c r="A3" s="6" t="s">
        <v>3</v>
      </c>
      <c r="B3" s="7" t="s">
        <v>171</v>
      </c>
      <c r="C3" s="13">
        <v>424.55</v>
      </c>
      <c r="D3" s="11" t="s">
        <v>4</v>
      </c>
    </row>
    <row r="4" spans="1:4" x14ac:dyDescent="0.25">
      <c r="A4" s="6" t="s">
        <v>5</v>
      </c>
      <c r="B4" s="7" t="s">
        <v>8</v>
      </c>
      <c r="C4" s="13">
        <v>659.97</v>
      </c>
      <c r="D4" s="11" t="s">
        <v>2</v>
      </c>
    </row>
    <row r="5" spans="1:4" x14ac:dyDescent="0.25">
      <c r="A5" s="6" t="s">
        <v>6</v>
      </c>
      <c r="B5" s="7" t="s">
        <v>10</v>
      </c>
      <c r="C5" s="13">
        <v>733.39</v>
      </c>
      <c r="D5" s="11" t="s">
        <v>2</v>
      </c>
    </row>
    <row r="6" spans="1:4" x14ac:dyDescent="0.25">
      <c r="A6" s="6" t="s">
        <v>7</v>
      </c>
      <c r="B6" s="7" t="s">
        <v>192</v>
      </c>
      <c r="C6" s="13">
        <v>594.54</v>
      </c>
      <c r="D6" s="8" t="s">
        <v>2</v>
      </c>
    </row>
    <row r="7" spans="1:4" x14ac:dyDescent="0.25">
      <c r="A7" s="6" t="s">
        <v>9</v>
      </c>
      <c r="B7" s="7" t="s">
        <v>193</v>
      </c>
      <c r="C7" s="13">
        <v>742.97</v>
      </c>
      <c r="D7" s="8" t="s">
        <v>2</v>
      </c>
    </row>
    <row r="8" spans="1:4" x14ac:dyDescent="0.25">
      <c r="A8" s="6" t="s">
        <v>11</v>
      </c>
      <c r="B8" s="7" t="s">
        <v>176</v>
      </c>
      <c r="C8" s="13">
        <v>795.64</v>
      </c>
      <c r="D8" s="11" t="s">
        <v>12</v>
      </c>
    </row>
    <row r="9" spans="1:4" x14ac:dyDescent="0.25">
      <c r="A9" s="6" t="s">
        <v>13</v>
      </c>
      <c r="B9" s="7" t="s">
        <v>14</v>
      </c>
      <c r="C9" s="13">
        <v>929.71</v>
      </c>
      <c r="D9" s="8" t="s">
        <v>12</v>
      </c>
    </row>
    <row r="10" spans="1:4" x14ac:dyDescent="0.25">
      <c r="A10" s="6" t="s">
        <v>15</v>
      </c>
      <c r="B10" s="7" t="s">
        <v>16</v>
      </c>
      <c r="C10" s="13">
        <v>828.36</v>
      </c>
      <c r="D10" s="8" t="s">
        <v>12</v>
      </c>
    </row>
    <row r="11" spans="1:4" x14ac:dyDescent="0.25">
      <c r="A11" s="6" t="s">
        <v>17</v>
      </c>
      <c r="B11" s="7" t="s">
        <v>18</v>
      </c>
      <c r="C11" s="13">
        <v>929.71</v>
      </c>
      <c r="D11" s="8" t="s">
        <v>12</v>
      </c>
    </row>
    <row r="12" spans="1:4" x14ac:dyDescent="0.25">
      <c r="A12" s="6" t="s">
        <v>19</v>
      </c>
      <c r="B12" s="7" t="s">
        <v>177</v>
      </c>
      <c r="C12" s="13">
        <v>1148.3699999999999</v>
      </c>
      <c r="D12" s="11" t="s">
        <v>12</v>
      </c>
    </row>
    <row r="13" spans="1:4" x14ac:dyDescent="0.25">
      <c r="A13" s="6" t="s">
        <v>20</v>
      </c>
      <c r="B13" s="7" t="s">
        <v>178</v>
      </c>
      <c r="C13" s="13">
        <v>1124.43</v>
      </c>
      <c r="D13" s="11" t="s">
        <v>12</v>
      </c>
    </row>
    <row r="14" spans="1:4" x14ac:dyDescent="0.25">
      <c r="A14" s="6" t="s">
        <v>21</v>
      </c>
      <c r="B14" s="7" t="s">
        <v>179</v>
      </c>
      <c r="C14" s="13">
        <v>658.38</v>
      </c>
      <c r="D14" s="11" t="s">
        <v>12</v>
      </c>
    </row>
    <row r="15" spans="1:4" x14ac:dyDescent="0.25">
      <c r="A15" s="6" t="s">
        <v>58</v>
      </c>
      <c r="B15" s="7" t="s">
        <v>180</v>
      </c>
      <c r="C15" s="13">
        <v>1076.55</v>
      </c>
      <c r="D15" s="11" t="s">
        <v>12</v>
      </c>
    </row>
    <row r="16" spans="1:4" x14ac:dyDescent="0.25">
      <c r="A16" s="6" t="s">
        <v>22</v>
      </c>
      <c r="B16" s="7" t="s">
        <v>194</v>
      </c>
      <c r="C16" s="13">
        <v>1541.8</v>
      </c>
      <c r="D16" s="11" t="s">
        <v>4</v>
      </c>
    </row>
    <row r="17" spans="1:4" x14ac:dyDescent="0.25">
      <c r="A17" s="6" t="s">
        <v>23</v>
      </c>
      <c r="B17" s="7" t="s">
        <v>195</v>
      </c>
      <c r="C17" s="13">
        <v>1420.5</v>
      </c>
      <c r="D17" s="11" t="s">
        <v>4</v>
      </c>
    </row>
    <row r="18" spans="1:4" x14ac:dyDescent="0.25">
      <c r="A18" s="6" t="s">
        <v>24</v>
      </c>
      <c r="B18" s="7" t="s">
        <v>183</v>
      </c>
      <c r="C18" s="13">
        <v>4611.04</v>
      </c>
      <c r="D18" s="8" t="s">
        <v>12</v>
      </c>
    </row>
    <row r="19" spans="1:4" x14ac:dyDescent="0.25">
      <c r="A19" s="6" t="s">
        <v>59</v>
      </c>
      <c r="B19" s="7" t="s">
        <v>196</v>
      </c>
      <c r="C19" s="13">
        <v>5072.3</v>
      </c>
      <c r="D19" s="1" t="s">
        <v>54</v>
      </c>
    </row>
    <row r="20" spans="1:4" x14ac:dyDescent="0.25">
      <c r="A20" s="6" t="s">
        <v>25</v>
      </c>
      <c r="B20" s="7" t="s">
        <v>197</v>
      </c>
      <c r="C20" s="13">
        <v>2496.25</v>
      </c>
      <c r="D20" s="12" t="s">
        <v>4</v>
      </c>
    </row>
    <row r="21" spans="1:4" x14ac:dyDescent="0.25">
      <c r="A21" s="6" t="s">
        <v>26</v>
      </c>
      <c r="B21" s="7" t="s">
        <v>198</v>
      </c>
      <c r="C21" s="13">
        <v>2148.3000000000002</v>
      </c>
      <c r="D21" s="12" t="s">
        <v>4</v>
      </c>
    </row>
    <row r="22" spans="1:4" x14ac:dyDescent="0.25">
      <c r="A22" s="6" t="s">
        <v>27</v>
      </c>
      <c r="B22" s="7" t="s">
        <v>199</v>
      </c>
      <c r="C22" s="13">
        <v>3744.37</v>
      </c>
      <c r="D22" s="12" t="s">
        <v>4</v>
      </c>
    </row>
    <row r="23" spans="1:4" ht="45" x14ac:dyDescent="0.25">
      <c r="A23" s="6" t="s">
        <v>28</v>
      </c>
      <c r="B23" s="9" t="s">
        <v>200</v>
      </c>
      <c r="C23" s="13">
        <v>2793.12</v>
      </c>
      <c r="D23" s="12" t="s">
        <v>4</v>
      </c>
    </row>
    <row r="24" spans="1:4" x14ac:dyDescent="0.25">
      <c r="A24" s="6" t="s">
        <v>60</v>
      </c>
      <c r="B24" s="7" t="s">
        <v>201</v>
      </c>
      <c r="C24" s="13">
        <v>1714.18</v>
      </c>
      <c r="D24" s="12" t="s">
        <v>4</v>
      </c>
    </row>
    <row r="25" spans="1:4" x14ac:dyDescent="0.25">
      <c r="A25" s="6" t="s">
        <v>61</v>
      </c>
      <c r="B25" s="7" t="s">
        <v>202</v>
      </c>
      <c r="C25" s="13">
        <v>1942.42</v>
      </c>
      <c r="D25" s="12" t="s">
        <v>4</v>
      </c>
    </row>
    <row r="26" spans="1:4" x14ac:dyDescent="0.25">
      <c r="A26" s="6" t="s">
        <v>62</v>
      </c>
      <c r="B26" s="7" t="s">
        <v>203</v>
      </c>
      <c r="C26" s="13">
        <v>1338.3</v>
      </c>
      <c r="D26" s="12" t="s">
        <v>2</v>
      </c>
    </row>
    <row r="27" spans="1:4" x14ac:dyDescent="0.25">
      <c r="A27" s="6" t="s">
        <v>30</v>
      </c>
      <c r="B27" s="7" t="s">
        <v>204</v>
      </c>
      <c r="C27" s="13">
        <v>2040.57</v>
      </c>
      <c r="D27" s="12" t="s">
        <v>4</v>
      </c>
    </row>
    <row r="28" spans="1:4" x14ac:dyDescent="0.25">
      <c r="A28" s="6" t="s">
        <v>31</v>
      </c>
      <c r="B28" s="7" t="s">
        <v>205</v>
      </c>
      <c r="C28" s="13">
        <v>4050.03</v>
      </c>
      <c r="D28" s="1" t="s">
        <v>12</v>
      </c>
    </row>
    <row r="29" spans="1:4" x14ac:dyDescent="0.25">
      <c r="A29" s="6" t="s">
        <v>166</v>
      </c>
      <c r="B29" s="7" t="s">
        <v>206</v>
      </c>
      <c r="C29" s="13">
        <v>5160.09</v>
      </c>
      <c r="D29" s="12" t="s">
        <v>4</v>
      </c>
    </row>
    <row r="30" spans="1:4" x14ac:dyDescent="0.25">
      <c r="A30" s="6" t="s">
        <v>63</v>
      </c>
      <c r="B30" s="7" t="s">
        <v>207</v>
      </c>
      <c r="C30" s="13">
        <v>7223.8</v>
      </c>
      <c r="D30" s="12" t="s">
        <v>4</v>
      </c>
    </row>
    <row r="31" spans="1:4" x14ac:dyDescent="0.25">
      <c r="A31" s="6" t="s">
        <v>32</v>
      </c>
      <c r="B31" s="7" t="s">
        <v>208</v>
      </c>
      <c r="C31" s="13">
        <v>6080.22</v>
      </c>
      <c r="D31" s="12" t="s">
        <v>4</v>
      </c>
    </row>
    <row r="32" spans="1:4" x14ac:dyDescent="0.25">
      <c r="A32" s="6" t="s">
        <v>33</v>
      </c>
      <c r="B32" s="7" t="s">
        <v>209</v>
      </c>
      <c r="C32" s="13">
        <v>8598.02</v>
      </c>
      <c r="D32" s="12" t="s">
        <v>4</v>
      </c>
    </row>
    <row r="33" spans="1:4" x14ac:dyDescent="0.25">
      <c r="A33" s="6" t="s">
        <v>34</v>
      </c>
      <c r="B33" s="7" t="s">
        <v>210</v>
      </c>
      <c r="C33" s="13">
        <v>4556.7700000000004</v>
      </c>
      <c r="D33" s="12" t="s">
        <v>35</v>
      </c>
    </row>
    <row r="34" spans="1:4" x14ac:dyDescent="0.25">
      <c r="A34" s="6" t="s">
        <v>36</v>
      </c>
      <c r="B34" s="7" t="s">
        <v>211</v>
      </c>
      <c r="C34" s="13">
        <v>3417.98</v>
      </c>
      <c r="D34" s="12" t="s">
        <v>35</v>
      </c>
    </row>
    <row r="35" spans="1:4" x14ac:dyDescent="0.25">
      <c r="A35" s="6" t="s">
        <v>37</v>
      </c>
      <c r="B35" s="7" t="s">
        <v>212</v>
      </c>
      <c r="C35" s="13">
        <v>991.15</v>
      </c>
      <c r="D35" s="12" t="s">
        <v>4</v>
      </c>
    </row>
    <row r="36" spans="1:4" x14ac:dyDescent="0.25">
      <c r="A36" s="6" t="s">
        <v>38</v>
      </c>
      <c r="B36" s="7" t="s">
        <v>184</v>
      </c>
      <c r="C36" s="13">
        <v>999.13</v>
      </c>
      <c r="D36" s="12" t="s">
        <v>4</v>
      </c>
    </row>
    <row r="37" spans="1:4" x14ac:dyDescent="0.25">
      <c r="A37" s="6" t="s">
        <v>39</v>
      </c>
      <c r="B37" s="7" t="s">
        <v>213</v>
      </c>
      <c r="C37" s="13">
        <v>1261.69</v>
      </c>
      <c r="D37" s="12" t="s">
        <v>4</v>
      </c>
    </row>
    <row r="38" spans="1:4" x14ac:dyDescent="0.25">
      <c r="A38" s="6" t="s">
        <v>40</v>
      </c>
      <c r="B38" s="7" t="s">
        <v>214</v>
      </c>
      <c r="C38" s="13">
        <v>1821.91</v>
      </c>
      <c r="D38" s="12" t="s">
        <v>4</v>
      </c>
    </row>
    <row r="39" spans="1:4" x14ac:dyDescent="0.25">
      <c r="A39" s="6" t="s">
        <v>41</v>
      </c>
      <c r="B39" s="7" t="s">
        <v>212</v>
      </c>
      <c r="C39" s="13">
        <v>342.35</v>
      </c>
      <c r="D39" s="1" t="s">
        <v>4</v>
      </c>
    </row>
    <row r="40" spans="1:4" x14ac:dyDescent="0.25">
      <c r="A40" s="6" t="s">
        <v>42</v>
      </c>
      <c r="B40" s="7" t="s">
        <v>215</v>
      </c>
      <c r="C40" s="13">
        <v>406.2</v>
      </c>
      <c r="D40" s="1" t="s">
        <v>4</v>
      </c>
    </row>
    <row r="41" spans="1:4" x14ac:dyDescent="0.25">
      <c r="A41" s="6" t="s">
        <v>43</v>
      </c>
      <c r="B41" s="7" t="s">
        <v>184</v>
      </c>
      <c r="C41" s="13">
        <v>342.35</v>
      </c>
      <c r="D41" s="12" t="s">
        <v>4</v>
      </c>
    </row>
    <row r="42" spans="1:4" x14ac:dyDescent="0.25">
      <c r="A42" s="6" t="s">
        <v>44</v>
      </c>
      <c r="B42" s="7" t="s">
        <v>216</v>
      </c>
      <c r="C42" s="13">
        <v>352.73</v>
      </c>
      <c r="D42" s="1" t="s">
        <v>35</v>
      </c>
    </row>
    <row r="43" spans="1:4" x14ac:dyDescent="0.25">
      <c r="A43" s="6" t="s">
        <v>45</v>
      </c>
      <c r="B43" s="7" t="s">
        <v>217</v>
      </c>
      <c r="C43" s="13">
        <v>2027.81</v>
      </c>
      <c r="D43" s="1" t="s">
        <v>35</v>
      </c>
    </row>
    <row r="44" spans="1:4" x14ac:dyDescent="0.25">
      <c r="A44" s="6" t="s">
        <v>46</v>
      </c>
      <c r="B44" s="7" t="s">
        <v>218</v>
      </c>
      <c r="C44" s="13">
        <v>352.73</v>
      </c>
      <c r="D44" s="1" t="s">
        <v>2</v>
      </c>
    </row>
    <row r="45" spans="1:4" x14ac:dyDescent="0.25">
      <c r="A45" s="6" t="s">
        <v>47</v>
      </c>
      <c r="B45" s="7" t="s">
        <v>219</v>
      </c>
      <c r="C45" s="13">
        <v>3410</v>
      </c>
      <c r="D45" s="1" t="s">
        <v>35</v>
      </c>
    </row>
    <row r="46" spans="1:4" x14ac:dyDescent="0.25">
      <c r="A46" s="6" t="s">
        <v>48</v>
      </c>
      <c r="B46" s="7" t="s">
        <v>220</v>
      </c>
      <c r="C46" s="13">
        <v>1841.87</v>
      </c>
      <c r="D46" s="1" t="s">
        <v>35</v>
      </c>
    </row>
    <row r="47" spans="1:4" x14ac:dyDescent="0.25">
      <c r="A47" s="6" t="s">
        <v>49</v>
      </c>
      <c r="B47" s="7" t="s">
        <v>221</v>
      </c>
      <c r="C47" s="13">
        <v>6107.35</v>
      </c>
      <c r="D47" s="1" t="s">
        <v>35</v>
      </c>
    </row>
    <row r="48" spans="1:4" x14ac:dyDescent="0.25">
      <c r="A48" s="6" t="s">
        <v>64</v>
      </c>
      <c r="B48" s="7" t="s">
        <v>222</v>
      </c>
      <c r="C48" s="13">
        <v>470.84</v>
      </c>
      <c r="D48" s="1" t="s">
        <v>35</v>
      </c>
    </row>
    <row r="49" spans="1:4" x14ac:dyDescent="0.25">
      <c r="A49" s="6" t="s">
        <v>50</v>
      </c>
      <c r="B49" s="7" t="s">
        <v>185</v>
      </c>
      <c r="C49" s="13">
        <v>937.69</v>
      </c>
      <c r="D49" s="1" t="s">
        <v>4</v>
      </c>
    </row>
    <row r="50" spans="1:4" x14ac:dyDescent="0.25">
      <c r="A50" s="6" t="s">
        <v>51</v>
      </c>
      <c r="B50" s="7" t="s">
        <v>186</v>
      </c>
      <c r="C50" s="13">
        <v>1338.3</v>
      </c>
      <c r="D50" s="1" t="s">
        <v>4</v>
      </c>
    </row>
    <row r="51" spans="1:4" x14ac:dyDescent="0.25">
      <c r="A51" s="6" t="s">
        <v>52</v>
      </c>
      <c r="B51" s="7" t="s">
        <v>187</v>
      </c>
      <c r="C51" s="13">
        <v>1574.52</v>
      </c>
      <c r="D51" s="12" t="s">
        <v>4</v>
      </c>
    </row>
    <row r="52" spans="1:4" x14ac:dyDescent="0.25">
      <c r="A52" s="6" t="s">
        <v>53</v>
      </c>
      <c r="B52" s="7" t="s">
        <v>223</v>
      </c>
      <c r="C52" s="13">
        <v>5654.87</v>
      </c>
      <c r="D52" s="12" t="s">
        <v>54</v>
      </c>
    </row>
    <row r="53" spans="1:4" x14ac:dyDescent="0.25">
      <c r="A53" s="6" t="s">
        <v>55</v>
      </c>
      <c r="B53" s="7" t="s">
        <v>224</v>
      </c>
      <c r="C53" s="13">
        <v>6983.6</v>
      </c>
      <c r="D53" s="12" t="s">
        <v>54</v>
      </c>
    </row>
    <row r="54" spans="1:4" x14ac:dyDescent="0.25">
      <c r="A54" s="6" t="s">
        <v>65</v>
      </c>
      <c r="B54" s="7" t="s">
        <v>225</v>
      </c>
      <c r="C54" s="13">
        <v>132.47</v>
      </c>
      <c r="D54" s="12" t="s">
        <v>2</v>
      </c>
    </row>
    <row r="55" spans="1:4" x14ac:dyDescent="0.25">
      <c r="A55" s="6" t="s">
        <v>66</v>
      </c>
      <c r="B55" s="7" t="s">
        <v>226</v>
      </c>
      <c r="C55" s="13">
        <v>132.47</v>
      </c>
      <c r="D55" s="12" t="s">
        <v>2</v>
      </c>
    </row>
    <row r="56" spans="1:4" x14ac:dyDescent="0.25">
      <c r="A56" s="6" t="s">
        <v>57</v>
      </c>
      <c r="B56" s="7" t="s">
        <v>189</v>
      </c>
      <c r="C56" s="13">
        <v>9780.7000000000007</v>
      </c>
      <c r="D56" s="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opLeftCell="I1" workbookViewId="0">
      <selection activeCell="O8" sqref="O8"/>
    </sheetView>
  </sheetViews>
  <sheetFormatPr baseColWidth="10" defaultColWidth="11.42578125" defaultRowHeight="15" x14ac:dyDescent="0.25"/>
  <cols>
    <col min="1" max="1" width="20.28515625" bestFit="1" customWidth="1"/>
    <col min="2" max="2" width="17.5703125" bestFit="1" customWidth="1"/>
    <col min="3" max="3" width="14.140625" bestFit="1" customWidth="1"/>
    <col min="4" max="4" width="15.28515625" bestFit="1" customWidth="1"/>
    <col min="7" max="7" width="17.5703125" bestFit="1" customWidth="1"/>
    <col min="8" max="8" width="14.140625" bestFit="1" customWidth="1"/>
    <col min="12" max="12" width="14.140625" bestFit="1" customWidth="1"/>
    <col min="13" max="13" width="20.28515625" bestFit="1" customWidth="1"/>
    <col min="15" max="15" width="21.85546875" customWidth="1"/>
  </cols>
  <sheetData>
    <row r="1" spans="1:15" x14ac:dyDescent="0.25">
      <c r="L1" s="22" t="s">
        <v>306</v>
      </c>
    </row>
    <row r="2" spans="1:15" x14ac:dyDescent="0.25">
      <c r="L2" s="22"/>
    </row>
    <row r="3" spans="1:15" x14ac:dyDescent="0.25">
      <c r="L3" s="19" t="s">
        <v>309</v>
      </c>
    </row>
    <row r="4" spans="1:15" x14ac:dyDescent="0.25">
      <c r="B4" s="14" t="s">
        <v>610</v>
      </c>
      <c r="C4" t="s">
        <v>230</v>
      </c>
      <c r="G4" s="14" t="s">
        <v>610</v>
      </c>
      <c r="H4" t="s">
        <v>230</v>
      </c>
      <c r="L4" s="19" t="s">
        <v>308</v>
      </c>
    </row>
    <row r="5" spans="1:15" x14ac:dyDescent="0.25">
      <c r="A5" t="e">
        <f>VLOOKUP(B5,Hoja1!D:E,2,0)</f>
        <v>#N/A</v>
      </c>
      <c r="B5" s="15"/>
      <c r="C5" s="16">
        <v>79096995.417999998</v>
      </c>
      <c r="G5" s="15" t="s">
        <v>618</v>
      </c>
      <c r="H5" s="16">
        <v>0</v>
      </c>
      <c r="L5" s="19" t="s">
        <v>307</v>
      </c>
    </row>
    <row r="6" spans="1:15" x14ac:dyDescent="0.25">
      <c r="A6" t="e">
        <f>VLOOKUP(B6,Hoja1!D:E,2,0)</f>
        <v>#N/A</v>
      </c>
      <c r="B6" s="15" t="s">
        <v>605</v>
      </c>
      <c r="C6" s="16">
        <v>0</v>
      </c>
      <c r="G6" s="15" t="s">
        <v>617</v>
      </c>
      <c r="H6" s="16">
        <v>0</v>
      </c>
    </row>
    <row r="7" spans="1:15" x14ac:dyDescent="0.25">
      <c r="A7" t="e">
        <f>VLOOKUP(B7,Hoja1!D:E,2,0)</f>
        <v>#N/A</v>
      </c>
      <c r="B7" s="15" t="s">
        <v>612</v>
      </c>
      <c r="C7" s="16">
        <v>0</v>
      </c>
      <c r="G7" s="15" t="s">
        <v>616</v>
      </c>
      <c r="H7" s="16">
        <v>0</v>
      </c>
      <c r="L7" t="s">
        <v>305</v>
      </c>
    </row>
    <row r="8" spans="1:15" x14ac:dyDescent="0.25">
      <c r="A8" t="e">
        <f>VLOOKUP(B8,Hoja1!D:E,2,0)</f>
        <v>#N/A</v>
      </c>
      <c r="B8" s="15" t="s">
        <v>611</v>
      </c>
      <c r="C8" s="16">
        <v>79096995.417999998</v>
      </c>
      <c r="G8" s="15" t="s">
        <v>613</v>
      </c>
      <c r="H8" s="16">
        <v>0</v>
      </c>
      <c r="L8" s="16">
        <v>79096995.417999998</v>
      </c>
      <c r="O8" s="13">
        <f>SUM(BD!Q2:Q1062)</f>
        <v>0</v>
      </c>
    </row>
    <row r="9" spans="1:15" x14ac:dyDescent="0.25">
      <c r="A9" t="e">
        <f>VLOOKUP(B9,Hoja1!D:E,2,0)</f>
        <v>#N/A</v>
      </c>
      <c r="G9" s="15" t="s">
        <v>621</v>
      </c>
      <c r="H9" s="16">
        <v>0</v>
      </c>
    </row>
    <row r="10" spans="1:15" x14ac:dyDescent="0.25">
      <c r="A10" t="e">
        <f>VLOOKUP(B10,Hoja1!D:E,2,0)</f>
        <v>#N/A</v>
      </c>
      <c r="G10" s="15" t="s">
        <v>620</v>
      </c>
      <c r="H10" s="16">
        <v>0</v>
      </c>
    </row>
    <row r="11" spans="1:15" x14ac:dyDescent="0.25">
      <c r="A11" t="e">
        <f>VLOOKUP(B11,Hoja1!D:E,2,0)</f>
        <v>#N/A</v>
      </c>
      <c r="G11" s="15" t="s">
        <v>619</v>
      </c>
      <c r="H11" s="16">
        <v>0</v>
      </c>
    </row>
    <row r="12" spans="1:15" x14ac:dyDescent="0.25">
      <c r="A12" t="e">
        <f>VLOOKUP(B12,Hoja1!D:E,2,0)</f>
        <v>#N/A</v>
      </c>
      <c r="D12">
        <v>3.9693652909381099</v>
      </c>
      <c r="G12" s="15" t="s">
        <v>615</v>
      </c>
      <c r="H12" s="16">
        <v>0</v>
      </c>
    </row>
    <row r="13" spans="1:15" x14ac:dyDescent="0.25">
      <c r="A13" t="e">
        <f>VLOOKUP(B13,Hoja1!D:E,2,0)</f>
        <v>#N/A</v>
      </c>
      <c r="G13" s="15" t="s">
        <v>614</v>
      </c>
      <c r="H13" s="16">
        <v>0</v>
      </c>
    </row>
    <row r="14" spans="1:15" x14ac:dyDescent="0.25">
      <c r="A14" t="e">
        <f>VLOOKUP(B14,Hoja1!D:E,2,0)</f>
        <v>#N/A</v>
      </c>
      <c r="D14" s="13">
        <f>D12*GETPIVOTDATA("Vtotal",$B$4)</f>
        <v>313964868.22969991</v>
      </c>
      <c r="G14" s="15"/>
      <c r="H14" s="16">
        <v>79096995.417999998</v>
      </c>
    </row>
    <row r="15" spans="1:15" x14ac:dyDescent="0.25">
      <c r="A15" t="e">
        <f>VLOOKUP(B15,Hoja1!D:E,2,0)</f>
        <v>#N/A</v>
      </c>
      <c r="G15" s="15" t="s">
        <v>612</v>
      </c>
      <c r="H15" s="16">
        <v>0</v>
      </c>
    </row>
    <row r="16" spans="1:15" x14ac:dyDescent="0.25">
      <c r="A16" t="e">
        <f>VLOOKUP(B16,Hoja1!D:E,2,0)</f>
        <v>#N/A</v>
      </c>
      <c r="G16" s="15" t="s">
        <v>611</v>
      </c>
      <c r="H16" s="16">
        <v>79096995.417999998</v>
      </c>
    </row>
    <row r="17" spans="1:1" x14ac:dyDescent="0.25">
      <c r="A17" t="e">
        <f>VLOOKUP(B17,Hoja1!D:E,2,0)</f>
        <v>#N/A</v>
      </c>
    </row>
    <row r="18" spans="1:1" x14ac:dyDescent="0.25">
      <c r="A18" t="e">
        <f>VLOOKUP(B18,Hoja1!D:E,2,0)</f>
        <v>#N/A</v>
      </c>
    </row>
    <row r="19" spans="1:1" x14ac:dyDescent="0.25">
      <c r="A19" t="e">
        <f>VLOOKUP(B19,Hoja1!D:E,2,0)</f>
        <v>#N/A</v>
      </c>
    </row>
    <row r="20" spans="1:1" x14ac:dyDescent="0.25">
      <c r="A20" t="e">
        <f>VLOOKUP(B20,Hoja1!D:E,2,0)</f>
        <v>#N/A</v>
      </c>
    </row>
    <row r="21" spans="1:1" x14ac:dyDescent="0.25">
      <c r="A21" t="e">
        <f>VLOOKUP(B21,Hoja1!D:E,2,0)</f>
        <v>#N/A</v>
      </c>
    </row>
    <row r="22" spans="1:1" x14ac:dyDescent="0.25">
      <c r="A22" t="e">
        <f>VLOOKUP(B22,Hoja1!D:E,2,0)</f>
        <v>#N/A</v>
      </c>
    </row>
    <row r="23" spans="1:1" x14ac:dyDescent="0.25">
      <c r="A23" t="e">
        <f>VLOOKUP(B23,Hoja1!D:E,2,0)</f>
        <v>#N/A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13"/>
  <sheetViews>
    <sheetView tabSelected="1" zoomScaleNormal="100" workbookViewId="0">
      <selection activeCell="I12" sqref="I12"/>
    </sheetView>
  </sheetViews>
  <sheetFormatPr baseColWidth="10" defaultColWidth="11.42578125" defaultRowHeight="15" x14ac:dyDescent="0.25"/>
  <cols>
    <col min="1" max="1" width="8.85546875" customWidth="1"/>
    <col min="2" max="2" width="7.140625" customWidth="1"/>
    <col min="3" max="3" width="40.7109375" customWidth="1"/>
    <col min="6" max="6" width="9" customWidth="1"/>
    <col min="7" max="7" width="7.28515625" customWidth="1"/>
    <col min="8" max="8" width="6.7109375" customWidth="1"/>
    <col min="9" max="9" width="21.85546875" customWidth="1"/>
    <col min="10" max="10" width="33.28515625" customWidth="1"/>
    <col min="11" max="11" width="5.7109375" customWidth="1"/>
    <col min="12" max="12" width="10.140625" customWidth="1"/>
    <col min="13" max="13" width="21.140625" customWidth="1"/>
    <col min="14" max="14" width="25.28515625" customWidth="1"/>
    <col min="15" max="15" width="18.42578125" customWidth="1"/>
    <col min="16" max="16" width="15.140625" bestFit="1" customWidth="1"/>
  </cols>
  <sheetData>
    <row r="1" spans="1:17" ht="24.6" customHeight="1" x14ac:dyDescent="0.25">
      <c r="A1" s="20" t="s">
        <v>127</v>
      </c>
      <c r="B1" s="21" t="s">
        <v>128</v>
      </c>
      <c r="C1" s="20" t="s">
        <v>129</v>
      </c>
      <c r="D1" s="20" t="s">
        <v>130</v>
      </c>
      <c r="E1" s="20" t="s">
        <v>131</v>
      </c>
      <c r="F1" s="21" t="s">
        <v>132</v>
      </c>
      <c r="G1" s="20" t="s">
        <v>134</v>
      </c>
      <c r="H1" s="21" t="s">
        <v>133</v>
      </c>
      <c r="I1" s="20" t="s">
        <v>135</v>
      </c>
      <c r="J1" s="20" t="s">
        <v>136</v>
      </c>
      <c r="K1" s="21" t="s">
        <v>137</v>
      </c>
      <c r="L1" s="20" t="s">
        <v>138</v>
      </c>
      <c r="M1" s="20" t="s">
        <v>139</v>
      </c>
      <c r="N1" s="21" t="s">
        <v>140</v>
      </c>
      <c r="O1" s="20" t="s">
        <v>141</v>
      </c>
      <c r="P1" s="17" t="s">
        <v>142</v>
      </c>
      <c r="Q1" s="17" t="s">
        <v>143</v>
      </c>
    </row>
    <row r="2" spans="1:17" x14ac:dyDescent="0.25">
      <c r="A2" s="2"/>
      <c r="B2" s="2"/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18"/>
      <c r="P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" s="4">
        <f>Tabla1[[#This Row],[Cantidad Realizada]]*Tabla1[[#This Row],[VxU]]</f>
        <v>0</v>
      </c>
    </row>
    <row r="3" spans="1:17" x14ac:dyDescent="0.25">
      <c r="A3" s="2"/>
      <c r="B3" s="2"/>
      <c r="C3" s="2"/>
      <c r="D3" s="5"/>
      <c r="E3" s="5"/>
      <c r="F3" s="2"/>
      <c r="G3" s="2"/>
      <c r="H3" s="2"/>
      <c r="I3" s="2"/>
      <c r="J3" s="2"/>
      <c r="K3" s="2"/>
      <c r="L3" s="2"/>
      <c r="M3" s="2"/>
      <c r="N3" s="2"/>
      <c r="O3" s="18"/>
      <c r="P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" s="44">
        <f>Tabla1[[#This Row],[Cantidad Realizada]]*Tabla1[[#This Row],[VxU]]</f>
        <v>0</v>
      </c>
    </row>
    <row r="4" spans="1:17" x14ac:dyDescent="0.25">
      <c r="A4" s="2"/>
      <c r="B4" s="2"/>
      <c r="C4" s="2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18"/>
      <c r="P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" s="44">
        <f>Tabla1[[#This Row],[Cantidad Realizada]]*Tabla1[[#This Row],[VxU]]</f>
        <v>0</v>
      </c>
    </row>
    <row r="5" spans="1:17" x14ac:dyDescent="0.25">
      <c r="A5" s="2"/>
      <c r="B5" s="2"/>
      <c r="C5" s="2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18"/>
      <c r="P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" s="44">
        <f>Tabla1[[#This Row],[Cantidad Realizada]]*Tabla1[[#This Row],[VxU]]</f>
        <v>0</v>
      </c>
    </row>
    <row r="6" spans="1:17" x14ac:dyDescent="0.25">
      <c r="A6" s="2"/>
      <c r="B6" s="2"/>
      <c r="C6" s="2"/>
      <c r="D6" s="5"/>
      <c r="E6" s="5"/>
      <c r="F6" s="2"/>
      <c r="G6" s="2"/>
      <c r="H6" s="2"/>
      <c r="I6" s="2"/>
      <c r="J6" s="2"/>
      <c r="K6" s="2"/>
      <c r="L6" s="2"/>
      <c r="M6" s="2"/>
      <c r="N6" s="2"/>
      <c r="O6" s="18"/>
      <c r="P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" s="44">
        <f>Tabla1[[#This Row],[Cantidad Realizada]]*Tabla1[[#This Row],[VxU]]</f>
        <v>0</v>
      </c>
    </row>
    <row r="7" spans="1:17" x14ac:dyDescent="0.25">
      <c r="A7" s="2"/>
      <c r="B7" s="2"/>
      <c r="C7" s="2"/>
      <c r="D7" s="5"/>
      <c r="E7" s="5"/>
      <c r="F7" s="2"/>
      <c r="G7" s="2"/>
      <c r="H7" s="2"/>
      <c r="I7" s="2"/>
      <c r="J7" s="2"/>
      <c r="K7" s="2"/>
      <c r="L7" s="2"/>
      <c r="M7" s="2"/>
      <c r="N7" s="2"/>
      <c r="O7" s="18"/>
      <c r="P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" s="44">
        <f>Tabla1[[#This Row],[Cantidad Realizada]]*Tabla1[[#This Row],[VxU]]</f>
        <v>0</v>
      </c>
    </row>
    <row r="8" spans="1:17" x14ac:dyDescent="0.25">
      <c r="A8" s="2"/>
      <c r="B8" s="2"/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18"/>
      <c r="P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" s="44">
        <f>Tabla1[[#This Row],[Cantidad Realizada]]*Tabla1[[#This Row],[VxU]]</f>
        <v>0</v>
      </c>
    </row>
    <row r="9" spans="1:17" x14ac:dyDescent="0.25">
      <c r="A9" s="2"/>
      <c r="B9" s="2"/>
      <c r="C9" s="2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18"/>
      <c r="P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" s="44">
        <f>Tabla1[[#This Row],[Cantidad Realizada]]*Tabla1[[#This Row],[VxU]]</f>
        <v>0</v>
      </c>
    </row>
    <row r="10" spans="1:17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18"/>
      <c r="P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" s="44">
        <f>Tabla1[[#This Row],[Cantidad Realizada]]*Tabla1[[#This Row],[VxU]]</f>
        <v>0</v>
      </c>
    </row>
    <row r="11" spans="1:17" x14ac:dyDescent="0.25">
      <c r="A11" s="2"/>
      <c r="B11" s="2"/>
      <c r="C11" s="2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18"/>
      <c r="P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" s="44">
        <f>Tabla1[[#This Row],[Cantidad Realizada]]*Tabla1[[#This Row],[VxU]]</f>
        <v>0</v>
      </c>
    </row>
    <row r="12" spans="1:17" x14ac:dyDescent="0.25">
      <c r="A12" s="2"/>
      <c r="B12" s="2"/>
      <c r="C12" s="2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18"/>
      <c r="P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" s="44">
        <f>Tabla1[[#This Row],[Cantidad Realizada]]*Tabla1[[#This Row],[VxU]]</f>
        <v>0</v>
      </c>
    </row>
    <row r="13" spans="1:17" x14ac:dyDescent="0.25">
      <c r="A13" s="2"/>
      <c r="B13" s="2"/>
      <c r="C13" s="2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18"/>
      <c r="P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" s="44">
        <f>Tabla1[[#This Row],[Cantidad Realizada]]*Tabla1[[#This Row],[VxU]]</f>
        <v>0</v>
      </c>
    </row>
    <row r="14" spans="1:17" x14ac:dyDescent="0.25">
      <c r="A14" s="2"/>
      <c r="B14" s="2"/>
      <c r="C14" s="2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18"/>
      <c r="P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" s="44">
        <f>Tabla1[[#This Row],[Cantidad Realizada]]*Tabla1[[#This Row],[VxU]]</f>
        <v>0</v>
      </c>
    </row>
    <row r="15" spans="1:17" x14ac:dyDescent="0.25">
      <c r="A15" s="2"/>
      <c r="B15" s="2"/>
      <c r="C15" s="2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18"/>
      <c r="P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" s="44">
        <f>Tabla1[[#This Row],[Cantidad Realizada]]*Tabla1[[#This Row],[VxU]]</f>
        <v>0</v>
      </c>
    </row>
    <row r="16" spans="1:17" x14ac:dyDescent="0.25">
      <c r="A16" s="38"/>
      <c r="B16" s="38"/>
      <c r="C16" s="38"/>
      <c r="D16" s="39"/>
      <c r="E16" s="39"/>
      <c r="F16" s="38"/>
      <c r="G16" s="38"/>
      <c r="H16" s="38"/>
      <c r="I16" s="38"/>
      <c r="J16" s="38"/>
      <c r="K16" s="38"/>
      <c r="L16" s="38"/>
      <c r="M16" s="38"/>
      <c r="N16" s="38"/>
      <c r="O16" s="40"/>
      <c r="P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" s="44">
        <f>Tabla1[[#This Row],[Cantidad Realizada]]*Tabla1[[#This Row],[VxU]]</f>
        <v>0</v>
      </c>
    </row>
    <row r="17" spans="1:17" x14ac:dyDescent="0.25">
      <c r="A17" s="2"/>
      <c r="B17" s="2"/>
      <c r="C17" s="2"/>
      <c r="D17" s="5"/>
      <c r="E17" s="5"/>
      <c r="F17" s="2"/>
      <c r="G17" s="2"/>
      <c r="H17" s="2"/>
      <c r="I17" s="2"/>
      <c r="J17" s="2"/>
      <c r="K17" s="2"/>
      <c r="L17" s="2"/>
      <c r="M17" s="2"/>
      <c r="N17" s="2"/>
      <c r="O17" s="18"/>
      <c r="P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" s="44">
        <f>Tabla1[[#This Row],[Cantidad Realizada]]*Tabla1[[#This Row],[VxU]]</f>
        <v>0</v>
      </c>
    </row>
    <row r="18" spans="1:17" x14ac:dyDescent="0.25">
      <c r="A18" s="38"/>
      <c r="B18" s="38"/>
      <c r="C18" s="38"/>
      <c r="D18" s="39"/>
      <c r="E18" s="39"/>
      <c r="F18" s="38"/>
      <c r="G18" s="38"/>
      <c r="H18" s="38"/>
      <c r="I18" s="38"/>
      <c r="J18" s="38"/>
      <c r="K18" s="38"/>
      <c r="L18" s="38"/>
      <c r="M18" s="38"/>
      <c r="N18" s="38"/>
      <c r="O18" s="40"/>
      <c r="P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" s="44">
        <f>Tabla1[[#This Row],[Cantidad Realizada]]*Tabla1[[#This Row],[VxU]]</f>
        <v>0</v>
      </c>
    </row>
    <row r="19" spans="1:17" x14ac:dyDescent="0.25">
      <c r="A19" s="2"/>
      <c r="B19" s="2"/>
      <c r="C19" s="2"/>
      <c r="D19" s="5"/>
      <c r="E19" s="5"/>
      <c r="F19" s="2"/>
      <c r="G19" s="2"/>
      <c r="H19" s="2"/>
      <c r="I19" s="2"/>
      <c r="J19" s="2"/>
      <c r="K19" s="2"/>
      <c r="L19" s="2"/>
      <c r="M19" s="2"/>
      <c r="N19" s="2"/>
      <c r="O19" s="18"/>
      <c r="P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" s="44">
        <f>Tabla1[[#This Row],[Cantidad Realizada]]*Tabla1[[#This Row],[VxU]]</f>
        <v>0</v>
      </c>
    </row>
    <row r="20" spans="1:17" x14ac:dyDescent="0.25">
      <c r="A20" s="2"/>
      <c r="B20" s="2"/>
      <c r="C20" s="2"/>
      <c r="D20" s="5"/>
      <c r="E20" s="5"/>
      <c r="F20" s="2"/>
      <c r="G20" s="2"/>
      <c r="H20" s="2"/>
      <c r="I20" s="2"/>
      <c r="J20" s="2"/>
      <c r="K20" s="2"/>
      <c r="L20" s="2"/>
      <c r="M20" s="2"/>
      <c r="N20" s="2"/>
      <c r="O20" s="18"/>
      <c r="P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" s="44">
        <f>Tabla1[[#This Row],[Cantidad Realizada]]*Tabla1[[#This Row],[VxU]]</f>
        <v>0</v>
      </c>
    </row>
    <row r="21" spans="1:17" x14ac:dyDescent="0.25">
      <c r="A21" s="2"/>
      <c r="B21" s="2"/>
      <c r="C21" s="2"/>
      <c r="D21" s="5"/>
      <c r="E21" s="5"/>
      <c r="F21" s="2"/>
      <c r="G21" s="2"/>
      <c r="H21" s="2"/>
      <c r="I21" s="2"/>
      <c r="J21" s="2"/>
      <c r="K21" s="2"/>
      <c r="L21" s="2"/>
      <c r="M21" s="2"/>
      <c r="N21" s="2"/>
      <c r="O21" s="18"/>
      <c r="P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" s="44">
        <f>Tabla1[[#This Row],[Cantidad Realizada]]*Tabla1[[#This Row],[VxU]]</f>
        <v>0</v>
      </c>
    </row>
    <row r="22" spans="1:17" x14ac:dyDescent="0.25">
      <c r="A22" s="2"/>
      <c r="B22" s="2"/>
      <c r="C22" s="2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18"/>
      <c r="P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" s="44">
        <f>Tabla1[[#This Row],[Cantidad Realizada]]*Tabla1[[#This Row],[VxU]]</f>
        <v>0</v>
      </c>
    </row>
    <row r="23" spans="1:17" x14ac:dyDescent="0.25">
      <c r="A23" s="2"/>
      <c r="B23" s="2"/>
      <c r="C23" s="2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18"/>
      <c r="P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" s="44">
        <f>Tabla1[[#This Row],[Cantidad Realizada]]*Tabla1[[#This Row],[VxU]]</f>
        <v>0</v>
      </c>
    </row>
    <row r="24" spans="1:17" x14ac:dyDescent="0.25">
      <c r="A24" s="2"/>
      <c r="B24" s="2"/>
      <c r="C24" s="2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18"/>
      <c r="P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" s="44">
        <f>Tabla1[[#This Row],[Cantidad Realizada]]*Tabla1[[#This Row],[VxU]]</f>
        <v>0</v>
      </c>
    </row>
    <row r="25" spans="1:17" x14ac:dyDescent="0.25">
      <c r="A25" s="2"/>
      <c r="B25" s="2"/>
      <c r="C25" s="2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18"/>
      <c r="P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" s="44">
        <f>Tabla1[[#This Row],[Cantidad Realizada]]*Tabla1[[#This Row],[VxU]]</f>
        <v>0</v>
      </c>
    </row>
    <row r="26" spans="1:17" x14ac:dyDescent="0.25">
      <c r="A26" s="2"/>
      <c r="B26" s="2"/>
      <c r="C26" s="2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18"/>
      <c r="P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" s="44">
        <f>Tabla1[[#This Row],[Cantidad Realizada]]*Tabla1[[#This Row],[VxU]]</f>
        <v>0</v>
      </c>
    </row>
    <row r="27" spans="1:17" x14ac:dyDescent="0.25">
      <c r="A27" s="2"/>
      <c r="B27" s="2"/>
      <c r="C27" s="2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18"/>
      <c r="P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" s="44">
        <f>Tabla1[[#This Row],[Cantidad Realizada]]*Tabla1[[#This Row],[VxU]]</f>
        <v>0</v>
      </c>
    </row>
    <row r="28" spans="1:17" x14ac:dyDescent="0.25">
      <c r="A28" s="2"/>
      <c r="B28" s="2"/>
      <c r="C28" s="2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18"/>
      <c r="P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" s="44">
        <f>Tabla1[[#This Row],[Cantidad Realizada]]*Tabla1[[#This Row],[VxU]]</f>
        <v>0</v>
      </c>
    </row>
    <row r="29" spans="1:17" x14ac:dyDescent="0.25">
      <c r="A29" s="2"/>
      <c r="B29" s="2"/>
      <c r="C29" s="2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18"/>
      <c r="P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" s="44">
        <f>Tabla1[[#This Row],[Cantidad Realizada]]*Tabla1[[#This Row],[VxU]]</f>
        <v>0</v>
      </c>
    </row>
    <row r="30" spans="1:17" x14ac:dyDescent="0.25">
      <c r="A30" s="2"/>
      <c r="B30" s="2"/>
      <c r="C30" s="2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18"/>
      <c r="P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" s="44">
        <f>Tabla1[[#This Row],[Cantidad Realizada]]*Tabla1[[#This Row],[VxU]]</f>
        <v>0</v>
      </c>
    </row>
    <row r="31" spans="1:17" x14ac:dyDescent="0.25">
      <c r="A31" s="2"/>
      <c r="B31" s="2"/>
      <c r="C31" s="2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18"/>
      <c r="P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" s="44">
        <f>Tabla1[[#This Row],[Cantidad Realizada]]*Tabla1[[#This Row],[VxU]]</f>
        <v>0</v>
      </c>
    </row>
    <row r="32" spans="1:17" x14ac:dyDescent="0.25">
      <c r="A32" s="2"/>
      <c r="B32" s="2"/>
      <c r="C32" s="2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18"/>
      <c r="P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" s="44">
        <f>Tabla1[[#This Row],[Cantidad Realizada]]*Tabla1[[#This Row],[VxU]]</f>
        <v>0</v>
      </c>
    </row>
    <row r="33" spans="1:17" x14ac:dyDescent="0.25">
      <c r="A33" s="2"/>
      <c r="B33" s="2"/>
      <c r="C33" s="2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18"/>
      <c r="P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" s="44">
        <f>Tabla1[[#This Row],[Cantidad Realizada]]*Tabla1[[#This Row],[VxU]]</f>
        <v>0</v>
      </c>
    </row>
    <row r="34" spans="1:17" x14ac:dyDescent="0.25">
      <c r="A34" s="2"/>
      <c r="B34" s="2"/>
      <c r="C34" s="2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18"/>
      <c r="P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" s="44">
        <f>Tabla1[[#This Row],[Cantidad Realizada]]*Tabla1[[#This Row],[VxU]]</f>
        <v>0</v>
      </c>
    </row>
    <row r="35" spans="1:17" x14ac:dyDescent="0.25">
      <c r="A35" s="2"/>
      <c r="B35" s="2"/>
      <c r="C35" s="2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18"/>
      <c r="P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" s="44">
        <f>Tabla1[[#This Row],[Cantidad Realizada]]*Tabla1[[#This Row],[VxU]]</f>
        <v>0</v>
      </c>
    </row>
    <row r="36" spans="1:17" x14ac:dyDescent="0.25">
      <c r="A36" s="2"/>
      <c r="B36" s="2"/>
      <c r="C36" s="2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18"/>
      <c r="P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" s="44">
        <f>Tabla1[[#This Row],[Cantidad Realizada]]*Tabla1[[#This Row],[VxU]]</f>
        <v>0</v>
      </c>
    </row>
    <row r="37" spans="1:17" x14ac:dyDescent="0.25">
      <c r="A37" s="2"/>
      <c r="B37" s="2"/>
      <c r="C37" s="2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18"/>
      <c r="P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" s="44">
        <f>Tabla1[[#This Row],[Cantidad Realizada]]*Tabla1[[#This Row],[VxU]]</f>
        <v>0</v>
      </c>
    </row>
    <row r="38" spans="1:17" x14ac:dyDescent="0.25">
      <c r="A38" s="2"/>
      <c r="B38" s="2"/>
      <c r="C38" s="2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18"/>
      <c r="P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" s="44">
        <f>Tabla1[[#This Row],[Cantidad Realizada]]*Tabla1[[#This Row],[VxU]]</f>
        <v>0</v>
      </c>
    </row>
    <row r="39" spans="1:17" x14ac:dyDescent="0.25">
      <c r="A39" s="2"/>
      <c r="B39" s="2"/>
      <c r="C39" s="2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18"/>
      <c r="P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" s="44">
        <f>Tabla1[[#This Row],[Cantidad Realizada]]*Tabla1[[#This Row],[VxU]]</f>
        <v>0</v>
      </c>
    </row>
    <row r="40" spans="1:17" x14ac:dyDescent="0.25">
      <c r="A40" s="2"/>
      <c r="B40" s="2"/>
      <c r="C40" s="2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18"/>
      <c r="P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" s="44">
        <f>Tabla1[[#This Row],[Cantidad Realizada]]*Tabla1[[#This Row],[VxU]]</f>
        <v>0</v>
      </c>
    </row>
    <row r="41" spans="1:17" x14ac:dyDescent="0.25">
      <c r="A41" s="2"/>
      <c r="B41" s="2"/>
      <c r="C41" s="2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18"/>
      <c r="P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" s="44">
        <f>Tabla1[[#This Row],[Cantidad Realizada]]*Tabla1[[#This Row],[VxU]]</f>
        <v>0</v>
      </c>
    </row>
    <row r="42" spans="1:17" x14ac:dyDescent="0.25">
      <c r="A42" s="2"/>
      <c r="B42" s="2"/>
      <c r="C42" s="2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18"/>
      <c r="P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" s="44">
        <f>Tabla1[[#This Row],[Cantidad Realizada]]*Tabla1[[#This Row],[VxU]]</f>
        <v>0</v>
      </c>
    </row>
    <row r="43" spans="1:17" x14ac:dyDescent="0.25">
      <c r="A43" s="2"/>
      <c r="B43" s="2"/>
      <c r="C43" s="2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18"/>
      <c r="P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" s="44">
        <f>Tabla1[[#This Row],[Cantidad Realizada]]*Tabla1[[#This Row],[VxU]]</f>
        <v>0</v>
      </c>
    </row>
    <row r="44" spans="1:17" x14ac:dyDescent="0.25">
      <c r="A44" s="2"/>
      <c r="B44" s="2"/>
      <c r="C44" s="2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18"/>
      <c r="P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" s="44">
        <f>Tabla1[[#This Row],[Cantidad Realizada]]*Tabla1[[#This Row],[VxU]]</f>
        <v>0</v>
      </c>
    </row>
    <row r="45" spans="1:17" x14ac:dyDescent="0.25">
      <c r="A45" s="2"/>
      <c r="B45" s="2"/>
      <c r="C45" s="2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18"/>
      <c r="P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" s="44">
        <f>Tabla1[[#This Row],[Cantidad Realizada]]*Tabla1[[#This Row],[VxU]]</f>
        <v>0</v>
      </c>
    </row>
    <row r="46" spans="1:17" x14ac:dyDescent="0.25">
      <c r="A46" s="2"/>
      <c r="B46" s="2"/>
      <c r="C46" s="2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18"/>
      <c r="P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" s="44">
        <f>Tabla1[[#This Row],[Cantidad Realizada]]*Tabla1[[#This Row],[VxU]]</f>
        <v>0</v>
      </c>
    </row>
    <row r="47" spans="1:17" x14ac:dyDescent="0.25">
      <c r="A47" s="2"/>
      <c r="B47" s="2"/>
      <c r="C47" s="2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18"/>
      <c r="P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" s="44">
        <f>Tabla1[[#This Row],[Cantidad Realizada]]*Tabla1[[#This Row],[VxU]]</f>
        <v>0</v>
      </c>
    </row>
    <row r="48" spans="1:17" x14ac:dyDescent="0.25">
      <c r="A48" s="2"/>
      <c r="B48" s="2"/>
      <c r="C48" s="2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18"/>
      <c r="P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" s="44">
        <f>Tabla1[[#This Row],[Cantidad Realizada]]*Tabla1[[#This Row],[VxU]]</f>
        <v>0</v>
      </c>
    </row>
    <row r="49" spans="1:17" x14ac:dyDescent="0.25">
      <c r="A49" s="2"/>
      <c r="B49" s="2"/>
      <c r="C49" s="2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18"/>
      <c r="P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" s="44">
        <f>Tabla1[[#This Row],[Cantidad Realizada]]*Tabla1[[#This Row],[VxU]]</f>
        <v>0</v>
      </c>
    </row>
    <row r="50" spans="1:17" x14ac:dyDescent="0.25">
      <c r="A50" s="2"/>
      <c r="B50" s="2"/>
      <c r="C50" s="2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18"/>
      <c r="P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" s="44">
        <f>Tabla1[[#This Row],[Cantidad Realizada]]*Tabla1[[#This Row],[VxU]]</f>
        <v>0</v>
      </c>
    </row>
    <row r="51" spans="1:17" x14ac:dyDescent="0.25">
      <c r="A51" s="2"/>
      <c r="B51" s="2"/>
      <c r="C51" s="2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18"/>
      <c r="P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" s="44">
        <f>Tabla1[[#This Row],[Cantidad Realizada]]*Tabla1[[#This Row],[VxU]]</f>
        <v>0</v>
      </c>
    </row>
    <row r="52" spans="1:17" x14ac:dyDescent="0.25">
      <c r="A52" s="2"/>
      <c r="B52" s="2"/>
      <c r="C52" s="2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18"/>
      <c r="P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" s="44">
        <f>Tabla1[[#This Row],[Cantidad Realizada]]*Tabla1[[#This Row],[VxU]]</f>
        <v>0</v>
      </c>
    </row>
    <row r="53" spans="1:17" x14ac:dyDescent="0.25">
      <c r="A53" s="2"/>
      <c r="B53" s="2"/>
      <c r="C53" s="2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18"/>
      <c r="P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" s="44">
        <f>Tabla1[[#This Row],[Cantidad Realizada]]*Tabla1[[#This Row],[VxU]]</f>
        <v>0</v>
      </c>
    </row>
    <row r="54" spans="1:17" x14ac:dyDescent="0.25">
      <c r="A54" s="2"/>
      <c r="B54" s="2"/>
      <c r="C54" s="2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18"/>
      <c r="P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" s="44">
        <f>Tabla1[[#This Row],[Cantidad Realizada]]*Tabla1[[#This Row],[VxU]]</f>
        <v>0</v>
      </c>
    </row>
    <row r="55" spans="1:17" x14ac:dyDescent="0.25">
      <c r="A55" s="2"/>
      <c r="B55" s="2"/>
      <c r="C55" s="2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18"/>
      <c r="P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" s="44">
        <f>Tabla1[[#This Row],[Cantidad Realizada]]*Tabla1[[#This Row],[VxU]]</f>
        <v>0</v>
      </c>
    </row>
    <row r="56" spans="1:17" x14ac:dyDescent="0.25">
      <c r="A56" s="2"/>
      <c r="B56" s="2"/>
      <c r="C56" s="2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18"/>
      <c r="P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" s="44">
        <f>Tabla1[[#This Row],[Cantidad Realizada]]*Tabla1[[#This Row],[VxU]]</f>
        <v>0</v>
      </c>
    </row>
    <row r="57" spans="1:17" x14ac:dyDescent="0.25">
      <c r="A57" s="2"/>
      <c r="B57" s="2"/>
      <c r="C57" s="2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18"/>
      <c r="P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" s="44">
        <f>Tabla1[[#This Row],[Cantidad Realizada]]*Tabla1[[#This Row],[VxU]]</f>
        <v>0</v>
      </c>
    </row>
    <row r="58" spans="1:17" x14ac:dyDescent="0.25">
      <c r="A58" s="2"/>
      <c r="B58" s="2"/>
      <c r="C58" s="2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18"/>
      <c r="P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" s="44">
        <f>Tabla1[[#This Row],[Cantidad Realizada]]*Tabla1[[#This Row],[VxU]]</f>
        <v>0</v>
      </c>
    </row>
    <row r="59" spans="1:17" x14ac:dyDescent="0.25">
      <c r="A59" s="2"/>
      <c r="B59" s="2"/>
      <c r="C59" s="2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18"/>
      <c r="P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" s="44">
        <f>Tabla1[[#This Row],[Cantidad Realizada]]*Tabla1[[#This Row],[VxU]]</f>
        <v>0</v>
      </c>
    </row>
    <row r="60" spans="1:17" x14ac:dyDescent="0.25">
      <c r="A60" s="38"/>
      <c r="B60" s="38"/>
      <c r="C60" s="38"/>
      <c r="D60" s="39"/>
      <c r="E60" s="39"/>
      <c r="F60" s="38"/>
      <c r="G60" s="38"/>
      <c r="H60" s="38"/>
      <c r="I60" s="38"/>
      <c r="J60" s="38"/>
      <c r="K60" s="38"/>
      <c r="L60" s="38"/>
      <c r="M60" s="38"/>
      <c r="N60" s="38"/>
      <c r="O60" s="40"/>
      <c r="P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" s="44">
        <f>Tabla1[[#This Row],[Cantidad Realizada]]*Tabla1[[#This Row],[VxU]]</f>
        <v>0</v>
      </c>
    </row>
    <row r="61" spans="1:17" x14ac:dyDescent="0.25">
      <c r="A61" s="2"/>
      <c r="B61" s="2"/>
      <c r="C61" s="2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18"/>
      <c r="P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" s="44">
        <f>Tabla1[[#This Row],[Cantidad Realizada]]*Tabla1[[#This Row],[VxU]]</f>
        <v>0</v>
      </c>
    </row>
    <row r="62" spans="1:17" x14ac:dyDescent="0.25">
      <c r="A62" s="2"/>
      <c r="B62" s="2"/>
      <c r="C62" s="2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18"/>
      <c r="P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" s="44">
        <f>Tabla1[[#This Row],[Cantidad Realizada]]*Tabla1[[#This Row],[VxU]]</f>
        <v>0</v>
      </c>
    </row>
    <row r="63" spans="1:17" x14ac:dyDescent="0.25">
      <c r="A63" s="2"/>
      <c r="B63" s="2"/>
      <c r="C63" s="2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18"/>
      <c r="P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" s="44">
        <f>Tabla1[[#This Row],[Cantidad Realizada]]*Tabla1[[#This Row],[VxU]]</f>
        <v>0</v>
      </c>
    </row>
    <row r="64" spans="1:17" x14ac:dyDescent="0.25">
      <c r="A64" s="2"/>
      <c r="B64" s="2"/>
      <c r="C64" s="2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18"/>
      <c r="P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" s="44">
        <f>Tabla1[[#This Row],[Cantidad Realizada]]*Tabla1[[#This Row],[VxU]]</f>
        <v>0</v>
      </c>
    </row>
    <row r="65" spans="1:17" x14ac:dyDescent="0.25">
      <c r="A65" s="2"/>
      <c r="B65" s="2"/>
      <c r="C65" s="2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18"/>
      <c r="P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" s="44">
        <f>Tabla1[[#This Row],[Cantidad Realizada]]*Tabla1[[#This Row],[VxU]]</f>
        <v>0</v>
      </c>
    </row>
    <row r="66" spans="1:17" x14ac:dyDescent="0.25">
      <c r="A66" s="2"/>
      <c r="B66" s="2"/>
      <c r="C66" s="2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18"/>
      <c r="P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" s="44">
        <f>Tabla1[[#This Row],[Cantidad Realizada]]*Tabla1[[#This Row],[VxU]]</f>
        <v>0</v>
      </c>
    </row>
    <row r="67" spans="1:17" x14ac:dyDescent="0.25">
      <c r="A67" s="2"/>
      <c r="B67" s="2"/>
      <c r="C67" s="2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18"/>
      <c r="P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" s="44">
        <f>Tabla1[[#This Row],[Cantidad Realizada]]*Tabla1[[#This Row],[VxU]]</f>
        <v>0</v>
      </c>
    </row>
    <row r="68" spans="1:17" x14ac:dyDescent="0.25">
      <c r="A68" s="2"/>
      <c r="B68" s="2"/>
      <c r="C68" s="2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18"/>
      <c r="P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" s="44">
        <f>Tabla1[[#This Row],[Cantidad Realizada]]*Tabla1[[#This Row],[VxU]]</f>
        <v>0</v>
      </c>
    </row>
    <row r="69" spans="1:17" x14ac:dyDescent="0.25">
      <c r="A69" s="2"/>
      <c r="B69" s="2"/>
      <c r="C69" s="2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18"/>
      <c r="P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" s="44">
        <f>Tabla1[[#This Row],[Cantidad Realizada]]*Tabla1[[#This Row],[VxU]]</f>
        <v>0</v>
      </c>
    </row>
    <row r="70" spans="1:17" x14ac:dyDescent="0.25">
      <c r="A70" s="2"/>
      <c r="B70" s="2"/>
      <c r="C70" s="2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18"/>
      <c r="P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" s="44">
        <f>Tabla1[[#This Row],[Cantidad Realizada]]*Tabla1[[#This Row],[VxU]]</f>
        <v>0</v>
      </c>
    </row>
    <row r="71" spans="1:17" x14ac:dyDescent="0.25">
      <c r="A71" s="2"/>
      <c r="B71" s="2"/>
      <c r="C71" s="2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18"/>
      <c r="P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" s="44">
        <f>Tabla1[[#This Row],[Cantidad Realizada]]*Tabla1[[#This Row],[VxU]]</f>
        <v>0</v>
      </c>
    </row>
    <row r="72" spans="1:17" x14ac:dyDescent="0.25">
      <c r="A72" s="2"/>
      <c r="B72" s="2"/>
      <c r="C72" s="2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18"/>
      <c r="P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" s="44">
        <f>Tabla1[[#This Row],[Cantidad Realizada]]*Tabla1[[#This Row],[VxU]]</f>
        <v>0</v>
      </c>
    </row>
    <row r="73" spans="1:17" x14ac:dyDescent="0.25">
      <c r="A73" s="2"/>
      <c r="B73" s="2"/>
      <c r="C73" s="2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18"/>
      <c r="P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" s="44">
        <f>Tabla1[[#This Row],[Cantidad Realizada]]*Tabla1[[#This Row],[VxU]]</f>
        <v>0</v>
      </c>
    </row>
    <row r="74" spans="1:17" x14ac:dyDescent="0.25">
      <c r="A74" s="2"/>
      <c r="B74" s="2"/>
      <c r="C74" s="2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18"/>
      <c r="P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" s="44">
        <f>Tabla1[[#This Row],[Cantidad Realizada]]*Tabla1[[#This Row],[VxU]]</f>
        <v>0</v>
      </c>
    </row>
    <row r="75" spans="1:17" x14ac:dyDescent="0.25">
      <c r="A75" s="2"/>
      <c r="B75" s="2"/>
      <c r="C75" s="2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18"/>
      <c r="P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" s="44">
        <f>Tabla1[[#This Row],[Cantidad Realizada]]*Tabla1[[#This Row],[VxU]]</f>
        <v>0</v>
      </c>
    </row>
    <row r="76" spans="1:17" x14ac:dyDescent="0.25">
      <c r="A76" s="2"/>
      <c r="B76" s="2"/>
      <c r="C76" s="2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18"/>
      <c r="P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" s="44">
        <f>Tabla1[[#This Row],[Cantidad Realizada]]*Tabla1[[#This Row],[VxU]]</f>
        <v>0</v>
      </c>
    </row>
    <row r="77" spans="1:17" x14ac:dyDescent="0.25">
      <c r="A77" s="2"/>
      <c r="B77" s="2"/>
      <c r="C77" s="2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18"/>
      <c r="P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" s="44">
        <f>Tabla1[[#This Row],[Cantidad Realizada]]*Tabla1[[#This Row],[VxU]]</f>
        <v>0</v>
      </c>
    </row>
    <row r="78" spans="1:17" x14ac:dyDescent="0.25">
      <c r="A78" s="2"/>
      <c r="B78" s="2"/>
      <c r="C78" s="2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18"/>
      <c r="P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" s="44">
        <f>Tabla1[[#This Row],[Cantidad Realizada]]*Tabla1[[#This Row],[VxU]]</f>
        <v>0</v>
      </c>
    </row>
    <row r="79" spans="1:17" x14ac:dyDescent="0.25">
      <c r="A79" s="2"/>
      <c r="B79" s="2"/>
      <c r="C79" s="2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18"/>
      <c r="P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" s="44">
        <f>Tabla1[[#This Row],[Cantidad Realizada]]*Tabla1[[#This Row],[VxU]]</f>
        <v>0</v>
      </c>
    </row>
    <row r="80" spans="1:17" x14ac:dyDescent="0.25">
      <c r="A80" s="2"/>
      <c r="B80" s="2"/>
      <c r="C80" s="2"/>
      <c r="D80" s="5"/>
      <c r="E80" s="5"/>
      <c r="F80" s="2"/>
      <c r="G80" s="2"/>
      <c r="H80" s="2"/>
      <c r="I80" s="2"/>
      <c r="J80" s="2"/>
      <c r="K80" s="2"/>
      <c r="L80" s="2"/>
      <c r="M80" s="2"/>
      <c r="N80" s="2"/>
      <c r="O80" s="18"/>
      <c r="P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" s="44">
        <f>Tabla1[[#This Row],[Cantidad Realizada]]*Tabla1[[#This Row],[VxU]]</f>
        <v>0</v>
      </c>
    </row>
    <row r="81" spans="1:17" x14ac:dyDescent="0.25">
      <c r="A81" s="2"/>
      <c r="B81" s="2"/>
      <c r="C81" s="2"/>
      <c r="D81" s="5"/>
      <c r="E81" s="5"/>
      <c r="F81" s="2"/>
      <c r="G81" s="2"/>
      <c r="H81" s="2"/>
      <c r="I81" s="2"/>
      <c r="J81" s="2"/>
      <c r="K81" s="2"/>
      <c r="L81" s="2"/>
      <c r="M81" s="2"/>
      <c r="N81" s="2"/>
      <c r="O81" s="18"/>
      <c r="P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1" s="44">
        <f>Tabla1[[#This Row],[Cantidad Realizada]]*Tabla1[[#This Row],[VxU]]</f>
        <v>0</v>
      </c>
    </row>
    <row r="82" spans="1:17" x14ac:dyDescent="0.25">
      <c r="A82" s="2"/>
      <c r="B82" s="2"/>
      <c r="C82" s="2"/>
      <c r="D82" s="5"/>
      <c r="E82" s="5"/>
      <c r="F82" s="2"/>
      <c r="G82" s="2"/>
      <c r="H82" s="2"/>
      <c r="I82" s="2"/>
      <c r="J82" s="2"/>
      <c r="K82" s="2"/>
      <c r="L82" s="2"/>
      <c r="M82" s="2"/>
      <c r="N82" s="2"/>
      <c r="O82" s="18"/>
      <c r="P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2" s="44">
        <f>Tabla1[[#This Row],[Cantidad Realizada]]*Tabla1[[#This Row],[VxU]]</f>
        <v>0</v>
      </c>
    </row>
    <row r="83" spans="1:17" x14ac:dyDescent="0.25">
      <c r="A83" s="2"/>
      <c r="B83" s="2"/>
      <c r="C83" s="2"/>
      <c r="D83" s="5"/>
      <c r="E83" s="5"/>
      <c r="F83" s="2"/>
      <c r="G83" s="2"/>
      <c r="H83" s="2"/>
      <c r="I83" s="2"/>
      <c r="J83" s="2"/>
      <c r="K83" s="2"/>
      <c r="L83" s="2"/>
      <c r="M83" s="2"/>
      <c r="N83" s="2"/>
      <c r="O83" s="18"/>
      <c r="P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3" s="44">
        <f>Tabla1[[#This Row],[Cantidad Realizada]]*Tabla1[[#This Row],[VxU]]</f>
        <v>0</v>
      </c>
    </row>
    <row r="84" spans="1:17" x14ac:dyDescent="0.25">
      <c r="A84" s="2"/>
      <c r="B84" s="2"/>
      <c r="C84" s="2"/>
      <c r="D84" s="5"/>
      <c r="E84" s="5"/>
      <c r="F84" s="2"/>
      <c r="G84" s="2"/>
      <c r="H84" s="2"/>
      <c r="I84" s="2"/>
      <c r="J84" s="2"/>
      <c r="K84" s="2"/>
      <c r="L84" s="2"/>
      <c r="M84" s="2"/>
      <c r="N84" s="2"/>
      <c r="O84" s="18"/>
      <c r="P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4" s="44">
        <f>Tabla1[[#This Row],[Cantidad Realizada]]*Tabla1[[#This Row],[VxU]]</f>
        <v>0</v>
      </c>
    </row>
    <row r="85" spans="1:17" x14ac:dyDescent="0.25">
      <c r="A85" s="2"/>
      <c r="B85" s="2"/>
      <c r="C85" s="2"/>
      <c r="D85" s="5"/>
      <c r="E85" s="5"/>
      <c r="F85" s="2"/>
      <c r="G85" s="2"/>
      <c r="H85" s="2"/>
      <c r="I85" s="2"/>
      <c r="J85" s="2"/>
      <c r="K85" s="2"/>
      <c r="L85" s="2"/>
      <c r="M85" s="2"/>
      <c r="N85" s="2"/>
      <c r="O85" s="18"/>
      <c r="P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5" s="44">
        <f>Tabla1[[#This Row],[Cantidad Realizada]]*Tabla1[[#This Row],[VxU]]</f>
        <v>0</v>
      </c>
    </row>
    <row r="86" spans="1:17" x14ac:dyDescent="0.25">
      <c r="A86" s="2"/>
      <c r="B86" s="2"/>
      <c r="C86" s="2"/>
      <c r="D86" s="5"/>
      <c r="E86" s="5"/>
      <c r="F86" s="2"/>
      <c r="G86" s="2"/>
      <c r="H86" s="2"/>
      <c r="I86" s="2"/>
      <c r="J86" s="2"/>
      <c r="K86" s="2"/>
      <c r="L86" s="2"/>
      <c r="M86" s="2"/>
      <c r="N86" s="2"/>
      <c r="O86" s="18"/>
      <c r="P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6" s="44">
        <f>Tabla1[[#This Row],[Cantidad Realizada]]*Tabla1[[#This Row],[VxU]]</f>
        <v>0</v>
      </c>
    </row>
    <row r="87" spans="1:17" x14ac:dyDescent="0.25">
      <c r="A87" s="2"/>
      <c r="B87" s="2"/>
      <c r="C87" s="2"/>
      <c r="D87" s="5"/>
      <c r="E87" s="5"/>
      <c r="F87" s="2"/>
      <c r="G87" s="2"/>
      <c r="H87" s="2"/>
      <c r="I87" s="2"/>
      <c r="J87" s="2"/>
      <c r="K87" s="2"/>
      <c r="L87" s="2"/>
      <c r="M87" s="2"/>
      <c r="N87" s="2"/>
      <c r="O87" s="18"/>
      <c r="P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7" s="44">
        <f>Tabla1[[#This Row],[Cantidad Realizada]]*Tabla1[[#This Row],[VxU]]</f>
        <v>0</v>
      </c>
    </row>
    <row r="88" spans="1:17" x14ac:dyDescent="0.25">
      <c r="A88" s="2"/>
      <c r="B88" s="2"/>
      <c r="C88" s="2"/>
      <c r="D88" s="5"/>
      <c r="E88" s="5"/>
      <c r="F88" s="2"/>
      <c r="G88" s="2"/>
      <c r="H88" s="2"/>
      <c r="I88" s="2"/>
      <c r="J88" s="2"/>
      <c r="K88" s="2"/>
      <c r="L88" s="2"/>
      <c r="M88" s="2"/>
      <c r="N88" s="2"/>
      <c r="O88" s="18"/>
      <c r="P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8" s="44">
        <f>Tabla1[[#This Row],[Cantidad Realizada]]*Tabla1[[#This Row],[VxU]]</f>
        <v>0</v>
      </c>
    </row>
    <row r="89" spans="1:17" x14ac:dyDescent="0.25">
      <c r="A89" s="2"/>
      <c r="B89" s="2"/>
      <c r="C89" s="2"/>
      <c r="D89" s="5"/>
      <c r="E89" s="5"/>
      <c r="F89" s="2"/>
      <c r="G89" s="2"/>
      <c r="H89" s="2"/>
      <c r="I89" s="2"/>
      <c r="J89" s="2"/>
      <c r="K89" s="2"/>
      <c r="L89" s="2"/>
      <c r="M89" s="2"/>
      <c r="N89" s="2"/>
      <c r="O89" s="18"/>
      <c r="P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9" s="44">
        <f>Tabla1[[#This Row],[Cantidad Realizada]]*Tabla1[[#This Row],[VxU]]</f>
        <v>0</v>
      </c>
    </row>
    <row r="90" spans="1:17" x14ac:dyDescent="0.25">
      <c r="A90" s="2"/>
      <c r="B90" s="2"/>
      <c r="C90" s="2"/>
      <c r="D90" s="5"/>
      <c r="E90" s="5"/>
      <c r="F90" s="2"/>
      <c r="G90" s="2"/>
      <c r="H90" s="2"/>
      <c r="I90" s="2"/>
      <c r="J90" s="2"/>
      <c r="K90" s="2"/>
      <c r="L90" s="2"/>
      <c r="M90" s="2"/>
      <c r="N90" s="2"/>
      <c r="O90" s="18"/>
      <c r="P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0" s="44">
        <f>Tabla1[[#This Row],[Cantidad Realizada]]*Tabla1[[#This Row],[VxU]]</f>
        <v>0</v>
      </c>
    </row>
    <row r="91" spans="1:17" x14ac:dyDescent="0.25">
      <c r="A91" s="2"/>
      <c r="B91" s="2"/>
      <c r="C91" s="2"/>
      <c r="D91" s="5"/>
      <c r="E91" s="5"/>
      <c r="F91" s="2"/>
      <c r="G91" s="2"/>
      <c r="H91" s="2"/>
      <c r="I91" s="2"/>
      <c r="J91" s="2"/>
      <c r="K91" s="2"/>
      <c r="L91" s="2"/>
      <c r="M91" s="2"/>
      <c r="N91" s="2"/>
      <c r="O91" s="18"/>
      <c r="P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1" s="44">
        <f>Tabla1[[#This Row],[Cantidad Realizada]]*Tabla1[[#This Row],[VxU]]</f>
        <v>0</v>
      </c>
    </row>
    <row r="92" spans="1:17" x14ac:dyDescent="0.25">
      <c r="A92" s="2"/>
      <c r="B92" s="2"/>
      <c r="C92" s="2"/>
      <c r="D92" s="5"/>
      <c r="E92" s="5"/>
      <c r="F92" s="2"/>
      <c r="G92" s="2"/>
      <c r="H92" s="2"/>
      <c r="I92" s="2"/>
      <c r="J92" s="2"/>
      <c r="K92" s="2"/>
      <c r="L92" s="2"/>
      <c r="M92" s="2"/>
      <c r="N92" s="2"/>
      <c r="O92" s="18"/>
      <c r="P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2" s="44">
        <f>Tabla1[[#This Row],[Cantidad Realizada]]*Tabla1[[#This Row],[VxU]]</f>
        <v>0</v>
      </c>
    </row>
    <row r="93" spans="1:17" x14ac:dyDescent="0.25">
      <c r="A93" s="2"/>
      <c r="B93" s="2"/>
      <c r="C93" s="2"/>
      <c r="D93" s="5"/>
      <c r="E93" s="5"/>
      <c r="F93" s="2"/>
      <c r="G93" s="2"/>
      <c r="H93" s="2"/>
      <c r="I93" s="2"/>
      <c r="J93" s="2"/>
      <c r="K93" s="2"/>
      <c r="L93" s="2"/>
      <c r="M93" s="2"/>
      <c r="N93" s="2"/>
      <c r="O93" s="18"/>
      <c r="P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3" s="44">
        <f>Tabla1[[#This Row],[Cantidad Realizada]]*Tabla1[[#This Row],[VxU]]</f>
        <v>0</v>
      </c>
    </row>
    <row r="94" spans="1:17" x14ac:dyDescent="0.25">
      <c r="A94" s="2"/>
      <c r="B94" s="2"/>
      <c r="C94" s="2"/>
      <c r="D94" s="5"/>
      <c r="E94" s="5"/>
      <c r="F94" s="2"/>
      <c r="G94" s="2"/>
      <c r="H94" s="2"/>
      <c r="I94" s="2"/>
      <c r="J94" s="2"/>
      <c r="K94" s="2"/>
      <c r="L94" s="2"/>
      <c r="M94" s="2"/>
      <c r="N94" s="2"/>
      <c r="O94" s="18"/>
      <c r="P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4" s="44">
        <f>Tabla1[[#This Row],[Cantidad Realizada]]*Tabla1[[#This Row],[VxU]]</f>
        <v>0</v>
      </c>
    </row>
    <row r="95" spans="1:17" x14ac:dyDescent="0.25">
      <c r="A95" s="2"/>
      <c r="B95" s="2"/>
      <c r="C95" s="2"/>
      <c r="D95" s="5"/>
      <c r="E95" s="5"/>
      <c r="F95" s="2"/>
      <c r="G95" s="2"/>
      <c r="H95" s="2"/>
      <c r="I95" s="2"/>
      <c r="J95" s="2"/>
      <c r="K95" s="2"/>
      <c r="L95" s="2"/>
      <c r="M95" s="2"/>
      <c r="N95" s="2"/>
      <c r="O95" s="18"/>
      <c r="P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5" s="44">
        <f>Tabla1[[#This Row],[Cantidad Realizada]]*Tabla1[[#This Row],[VxU]]</f>
        <v>0</v>
      </c>
    </row>
    <row r="96" spans="1:17" x14ac:dyDescent="0.25">
      <c r="A96" s="2"/>
      <c r="B96" s="2"/>
      <c r="C96" s="2"/>
      <c r="D96" s="5"/>
      <c r="E96" s="5"/>
      <c r="F96" s="2"/>
      <c r="G96" s="2"/>
      <c r="H96" s="2"/>
      <c r="I96" s="2"/>
      <c r="J96" s="2"/>
      <c r="K96" s="2"/>
      <c r="L96" s="2"/>
      <c r="M96" s="2"/>
      <c r="N96" s="2"/>
      <c r="O96" s="18"/>
      <c r="P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6" s="44">
        <f>Tabla1[[#This Row],[Cantidad Realizada]]*Tabla1[[#This Row],[VxU]]</f>
        <v>0</v>
      </c>
    </row>
    <row r="97" spans="1:17" x14ac:dyDescent="0.25">
      <c r="A97" s="2"/>
      <c r="B97" s="2"/>
      <c r="C97" s="2"/>
      <c r="D97" s="5"/>
      <c r="E97" s="5"/>
      <c r="F97" s="2"/>
      <c r="G97" s="2"/>
      <c r="H97" s="2"/>
      <c r="I97" s="2"/>
      <c r="J97" s="2"/>
      <c r="K97" s="2"/>
      <c r="L97" s="2"/>
      <c r="M97" s="2"/>
      <c r="N97" s="2"/>
      <c r="O97" s="18"/>
      <c r="P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7" s="44">
        <f>Tabla1[[#This Row],[Cantidad Realizada]]*Tabla1[[#This Row],[VxU]]</f>
        <v>0</v>
      </c>
    </row>
    <row r="98" spans="1:17" x14ac:dyDescent="0.25">
      <c r="A98" s="2"/>
      <c r="B98" s="2"/>
      <c r="C98" s="2"/>
      <c r="D98" s="5"/>
      <c r="E98" s="5"/>
      <c r="F98" s="2"/>
      <c r="G98" s="2"/>
      <c r="H98" s="2"/>
      <c r="I98" s="2"/>
      <c r="J98" s="2"/>
      <c r="K98" s="2"/>
      <c r="L98" s="2"/>
      <c r="M98" s="2"/>
      <c r="N98" s="2"/>
      <c r="O98" s="18"/>
      <c r="P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8" s="44">
        <f>Tabla1[[#This Row],[Cantidad Realizada]]*Tabla1[[#This Row],[VxU]]</f>
        <v>0</v>
      </c>
    </row>
    <row r="99" spans="1:17" x14ac:dyDescent="0.25">
      <c r="A99" s="2"/>
      <c r="B99" s="2"/>
      <c r="C99" s="2"/>
      <c r="D99" s="5"/>
      <c r="E99" s="5"/>
      <c r="F99" s="2"/>
      <c r="G99" s="2"/>
      <c r="H99" s="2"/>
      <c r="I99" s="2"/>
      <c r="J99" s="2"/>
      <c r="K99" s="2"/>
      <c r="L99" s="2"/>
      <c r="M99" s="2"/>
      <c r="N99" s="2"/>
      <c r="O99" s="18"/>
      <c r="P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99" s="44">
        <f>Tabla1[[#This Row],[Cantidad Realizada]]*Tabla1[[#This Row],[VxU]]</f>
        <v>0</v>
      </c>
    </row>
    <row r="100" spans="1:17" x14ac:dyDescent="0.25">
      <c r="A100" s="2"/>
      <c r="B100" s="2"/>
      <c r="C100" s="2"/>
      <c r="D100" s="5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18"/>
      <c r="P1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0" s="44">
        <f>Tabla1[[#This Row],[Cantidad Realizada]]*Tabla1[[#This Row],[VxU]]</f>
        <v>0</v>
      </c>
    </row>
    <row r="101" spans="1:17" x14ac:dyDescent="0.25">
      <c r="A101" s="2"/>
      <c r="B101" s="2"/>
      <c r="C101" s="2"/>
      <c r="D101" s="5"/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18"/>
      <c r="P1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1" s="44">
        <f>Tabla1[[#This Row],[Cantidad Realizada]]*Tabla1[[#This Row],[VxU]]</f>
        <v>0</v>
      </c>
    </row>
    <row r="102" spans="1:17" x14ac:dyDescent="0.25">
      <c r="A102" s="2"/>
      <c r="B102" s="2"/>
      <c r="C102" s="2"/>
      <c r="D102" s="5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18"/>
      <c r="P1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2" s="44">
        <f>Tabla1[[#This Row],[Cantidad Realizada]]*Tabla1[[#This Row],[VxU]]</f>
        <v>0</v>
      </c>
    </row>
    <row r="103" spans="1:17" x14ac:dyDescent="0.25">
      <c r="A103" s="2"/>
      <c r="B103" s="2"/>
      <c r="C103" s="2"/>
      <c r="D103" s="5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18"/>
      <c r="P1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3" s="44">
        <f>Tabla1[[#This Row],[Cantidad Realizada]]*Tabla1[[#This Row],[VxU]]</f>
        <v>0</v>
      </c>
    </row>
    <row r="104" spans="1:17" x14ac:dyDescent="0.25">
      <c r="A104" s="2"/>
      <c r="B104" s="2"/>
      <c r="C104" s="2"/>
      <c r="D104" s="5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18"/>
      <c r="P1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4" s="44">
        <f>Tabla1[[#This Row],[Cantidad Realizada]]*Tabla1[[#This Row],[VxU]]</f>
        <v>0</v>
      </c>
    </row>
    <row r="105" spans="1:17" x14ac:dyDescent="0.25">
      <c r="A105" s="2"/>
      <c r="B105" s="2"/>
      <c r="C105" s="2"/>
      <c r="D105" s="5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18"/>
      <c r="P1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5" s="44">
        <f>Tabla1[[#This Row],[Cantidad Realizada]]*Tabla1[[#This Row],[VxU]]</f>
        <v>0</v>
      </c>
    </row>
    <row r="106" spans="1:17" x14ac:dyDescent="0.25">
      <c r="A106" s="2"/>
      <c r="B106" s="2"/>
      <c r="C106" s="2"/>
      <c r="D106" s="5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18"/>
      <c r="P1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6" s="44">
        <f>Tabla1[[#This Row],[Cantidad Realizada]]*Tabla1[[#This Row],[VxU]]</f>
        <v>0</v>
      </c>
    </row>
    <row r="107" spans="1:17" x14ac:dyDescent="0.25">
      <c r="A107" s="2"/>
      <c r="B107" s="2"/>
      <c r="C107" s="2"/>
      <c r="D107" s="5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18"/>
      <c r="P1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7" s="44">
        <f>Tabla1[[#This Row],[Cantidad Realizada]]*Tabla1[[#This Row],[VxU]]</f>
        <v>0</v>
      </c>
    </row>
    <row r="108" spans="1:17" x14ac:dyDescent="0.25">
      <c r="A108" s="2"/>
      <c r="B108" s="2"/>
      <c r="C108" s="2"/>
      <c r="D108" s="5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18"/>
      <c r="P1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8" s="44">
        <f>Tabla1[[#This Row],[Cantidad Realizada]]*Tabla1[[#This Row],[VxU]]</f>
        <v>0</v>
      </c>
    </row>
    <row r="109" spans="1:17" x14ac:dyDescent="0.25">
      <c r="A109" s="2"/>
      <c r="B109" s="2"/>
      <c r="C109" s="2"/>
      <c r="D109" s="5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18"/>
      <c r="P1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09" s="44">
        <f>Tabla1[[#This Row],[Cantidad Realizada]]*Tabla1[[#This Row],[VxU]]</f>
        <v>0</v>
      </c>
    </row>
    <row r="110" spans="1:17" x14ac:dyDescent="0.25">
      <c r="A110" s="2"/>
      <c r="B110" s="2"/>
      <c r="C110" s="2"/>
      <c r="D110" s="5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18"/>
      <c r="P1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0" s="44">
        <f>Tabla1[[#This Row],[Cantidad Realizada]]*Tabla1[[#This Row],[VxU]]</f>
        <v>0</v>
      </c>
    </row>
    <row r="111" spans="1:17" x14ac:dyDescent="0.25">
      <c r="A111" s="2"/>
      <c r="B111" s="2"/>
      <c r="C111" s="2"/>
      <c r="D111" s="5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18"/>
      <c r="P1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1" s="44">
        <f>Tabla1[[#This Row],[Cantidad Realizada]]*Tabla1[[#This Row],[VxU]]</f>
        <v>0</v>
      </c>
    </row>
    <row r="112" spans="1:17" x14ac:dyDescent="0.25">
      <c r="A112" s="2"/>
      <c r="B112" s="2"/>
      <c r="C112" s="2"/>
      <c r="D112" s="5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18"/>
      <c r="P1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2" s="44">
        <f>Tabla1[[#This Row],[Cantidad Realizada]]*Tabla1[[#This Row],[VxU]]</f>
        <v>0</v>
      </c>
    </row>
    <row r="113" spans="1:17" x14ac:dyDescent="0.25">
      <c r="A113" s="2"/>
      <c r="B113" s="2"/>
      <c r="C113" s="2"/>
      <c r="D113" s="5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18"/>
      <c r="P1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3" s="44">
        <f>Tabla1[[#This Row],[Cantidad Realizada]]*Tabla1[[#This Row],[VxU]]</f>
        <v>0</v>
      </c>
    </row>
    <row r="114" spans="1:17" x14ac:dyDescent="0.25">
      <c r="A114" s="2"/>
      <c r="B114" s="2"/>
      <c r="C114" s="2"/>
      <c r="D114" s="5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18"/>
      <c r="P1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4" s="44">
        <f>Tabla1[[#This Row],[Cantidad Realizada]]*Tabla1[[#This Row],[VxU]]</f>
        <v>0</v>
      </c>
    </row>
    <row r="115" spans="1:17" x14ac:dyDescent="0.25">
      <c r="A115" s="2"/>
      <c r="B115" s="2"/>
      <c r="C115" s="2"/>
      <c r="D115" s="5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18"/>
      <c r="P1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5" s="44">
        <f>Tabla1[[#This Row],[Cantidad Realizada]]*Tabla1[[#This Row],[VxU]]</f>
        <v>0</v>
      </c>
    </row>
    <row r="116" spans="1:17" x14ac:dyDescent="0.25">
      <c r="A116" s="2"/>
      <c r="B116" s="2"/>
      <c r="C116" s="2"/>
      <c r="D116" s="5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18"/>
      <c r="P1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6" s="44">
        <f>Tabla1[[#This Row],[Cantidad Realizada]]*Tabla1[[#This Row],[VxU]]</f>
        <v>0</v>
      </c>
    </row>
    <row r="117" spans="1:17" x14ac:dyDescent="0.25">
      <c r="A117" s="38"/>
      <c r="B117" s="38"/>
      <c r="C117" s="38"/>
      <c r="D117" s="39"/>
      <c r="E117" s="39"/>
      <c r="F117" s="38"/>
      <c r="G117" s="38"/>
      <c r="H117" s="38"/>
      <c r="I117" s="38"/>
      <c r="J117" s="38"/>
      <c r="K117" s="38"/>
      <c r="L117" s="38"/>
      <c r="M117" s="38"/>
      <c r="N117" s="38"/>
      <c r="O117" s="40"/>
      <c r="P1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7" s="44">
        <f>Tabla1[[#This Row],[Cantidad Realizada]]*Tabla1[[#This Row],[VxU]]</f>
        <v>0</v>
      </c>
    </row>
    <row r="118" spans="1:17" x14ac:dyDescent="0.25">
      <c r="A118" s="2"/>
      <c r="B118" s="2"/>
      <c r="C118" s="2"/>
      <c r="D118" s="5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18"/>
      <c r="P1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8" s="44">
        <f>Tabla1[[#This Row],[Cantidad Realizada]]*Tabla1[[#This Row],[VxU]]</f>
        <v>0</v>
      </c>
    </row>
    <row r="119" spans="1:17" x14ac:dyDescent="0.25">
      <c r="A119" s="2"/>
      <c r="B119" s="2"/>
      <c r="C119" s="2"/>
      <c r="D119" s="5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18"/>
      <c r="P1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19" s="44">
        <f>Tabla1[[#This Row],[Cantidad Realizada]]*Tabla1[[#This Row],[VxU]]</f>
        <v>0</v>
      </c>
    </row>
    <row r="120" spans="1:17" x14ac:dyDescent="0.25">
      <c r="A120" s="2"/>
      <c r="B120" s="2"/>
      <c r="C120" s="2"/>
      <c r="D120" s="5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18"/>
      <c r="P1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0" s="44">
        <f>Tabla1[[#This Row],[Cantidad Realizada]]*Tabla1[[#This Row],[VxU]]</f>
        <v>0</v>
      </c>
    </row>
    <row r="121" spans="1:17" x14ac:dyDescent="0.25">
      <c r="A121" s="2"/>
      <c r="B121" s="2"/>
      <c r="C121" s="2"/>
      <c r="D121" s="5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18"/>
      <c r="P1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1" s="44">
        <f>Tabla1[[#This Row],[Cantidad Realizada]]*Tabla1[[#This Row],[VxU]]</f>
        <v>0</v>
      </c>
    </row>
    <row r="122" spans="1:17" x14ac:dyDescent="0.25">
      <c r="A122" s="38"/>
      <c r="B122" s="38"/>
      <c r="C122" s="38"/>
      <c r="D122" s="39"/>
      <c r="E122" s="39"/>
      <c r="F122" s="38"/>
      <c r="G122" s="38"/>
      <c r="H122" s="38"/>
      <c r="I122" s="38"/>
      <c r="J122" s="38"/>
      <c r="K122" s="38"/>
      <c r="L122" s="38"/>
      <c r="M122" s="38"/>
      <c r="N122" s="38"/>
      <c r="O122" s="40"/>
      <c r="P1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2" s="44">
        <f>Tabla1[[#This Row],[Cantidad Realizada]]*Tabla1[[#This Row],[VxU]]</f>
        <v>0</v>
      </c>
    </row>
    <row r="123" spans="1:17" x14ac:dyDescent="0.25">
      <c r="A123" s="2"/>
      <c r="B123" s="2"/>
      <c r="C123" s="2"/>
      <c r="D123" s="5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18"/>
      <c r="P1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3" s="44">
        <f>Tabla1[[#This Row],[Cantidad Realizada]]*Tabla1[[#This Row],[VxU]]</f>
        <v>0</v>
      </c>
    </row>
    <row r="124" spans="1:17" x14ac:dyDescent="0.25">
      <c r="A124" s="2"/>
      <c r="B124" s="2"/>
      <c r="C124" s="2"/>
      <c r="D124" s="5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18"/>
      <c r="P1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4" s="44">
        <f>Tabla1[[#This Row],[Cantidad Realizada]]*Tabla1[[#This Row],[VxU]]</f>
        <v>0</v>
      </c>
    </row>
    <row r="125" spans="1:17" x14ac:dyDescent="0.25">
      <c r="A125" s="2"/>
      <c r="B125" s="2"/>
      <c r="C125" s="2"/>
      <c r="D125" s="5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18"/>
      <c r="P1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5" s="44">
        <f>Tabla1[[#This Row],[Cantidad Realizada]]*Tabla1[[#This Row],[VxU]]</f>
        <v>0</v>
      </c>
    </row>
    <row r="126" spans="1:17" x14ac:dyDescent="0.25">
      <c r="A126" s="2"/>
      <c r="B126" s="2"/>
      <c r="C126" s="2"/>
      <c r="D126" s="5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18"/>
      <c r="P1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6" s="44">
        <f>Tabla1[[#This Row],[Cantidad Realizada]]*Tabla1[[#This Row],[VxU]]</f>
        <v>0</v>
      </c>
    </row>
    <row r="127" spans="1:17" x14ac:dyDescent="0.25">
      <c r="A127" s="2"/>
      <c r="B127" s="2"/>
      <c r="C127" s="2"/>
      <c r="D127" s="5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18"/>
      <c r="P1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7" s="44">
        <f>Tabla1[[#This Row],[Cantidad Realizada]]*Tabla1[[#This Row],[VxU]]</f>
        <v>0</v>
      </c>
    </row>
    <row r="128" spans="1:17" x14ac:dyDescent="0.25">
      <c r="A128" s="2"/>
      <c r="B128" s="2"/>
      <c r="C128" s="2"/>
      <c r="D128" s="5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18"/>
      <c r="P1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8" s="44">
        <f>Tabla1[[#This Row],[Cantidad Realizada]]*Tabla1[[#This Row],[VxU]]</f>
        <v>0</v>
      </c>
    </row>
    <row r="129" spans="1:17" x14ac:dyDescent="0.25">
      <c r="A129" s="2"/>
      <c r="B129" s="2"/>
      <c r="C129" s="2"/>
      <c r="D129" s="5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18"/>
      <c r="P1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29" s="44">
        <f>Tabla1[[#This Row],[Cantidad Realizada]]*Tabla1[[#This Row],[VxU]]</f>
        <v>0</v>
      </c>
    </row>
    <row r="130" spans="1:17" x14ac:dyDescent="0.25">
      <c r="A130" s="2"/>
      <c r="B130" s="2"/>
      <c r="C130" s="2"/>
      <c r="D130" s="5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18"/>
      <c r="P1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0" s="44">
        <f>Tabla1[[#This Row],[Cantidad Realizada]]*Tabla1[[#This Row],[VxU]]</f>
        <v>0</v>
      </c>
    </row>
    <row r="131" spans="1:17" x14ac:dyDescent="0.25">
      <c r="A131" s="2"/>
      <c r="B131" s="2"/>
      <c r="C131" s="2"/>
      <c r="D131" s="5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18"/>
      <c r="P1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1" s="44">
        <f>Tabla1[[#This Row],[Cantidad Realizada]]*Tabla1[[#This Row],[VxU]]</f>
        <v>0</v>
      </c>
    </row>
    <row r="132" spans="1:17" x14ac:dyDescent="0.25">
      <c r="A132" s="2"/>
      <c r="B132" s="2"/>
      <c r="C132" s="2"/>
      <c r="D132" s="5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18"/>
      <c r="P1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2" s="44">
        <f>Tabla1[[#This Row],[Cantidad Realizada]]*Tabla1[[#This Row],[VxU]]</f>
        <v>0</v>
      </c>
    </row>
    <row r="133" spans="1:17" x14ac:dyDescent="0.25">
      <c r="A133" s="2"/>
      <c r="B133" s="2"/>
      <c r="C133" s="2"/>
      <c r="D133" s="5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18"/>
      <c r="P1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3" s="44">
        <f>Tabla1[[#This Row],[Cantidad Realizada]]*Tabla1[[#This Row],[VxU]]</f>
        <v>0</v>
      </c>
    </row>
    <row r="134" spans="1:17" x14ac:dyDescent="0.25">
      <c r="A134" s="2"/>
      <c r="B134" s="2"/>
      <c r="C134" s="2"/>
      <c r="D134" s="5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18"/>
      <c r="P1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4" s="44">
        <f>Tabla1[[#This Row],[Cantidad Realizada]]*Tabla1[[#This Row],[VxU]]</f>
        <v>0</v>
      </c>
    </row>
    <row r="135" spans="1:17" x14ac:dyDescent="0.25">
      <c r="A135" s="2"/>
      <c r="B135" s="2"/>
      <c r="C135" s="2"/>
      <c r="D135" s="5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18"/>
      <c r="P1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5" s="44">
        <f>Tabla1[[#This Row],[Cantidad Realizada]]*Tabla1[[#This Row],[VxU]]</f>
        <v>0</v>
      </c>
    </row>
    <row r="136" spans="1:17" x14ac:dyDescent="0.25">
      <c r="A136" s="2"/>
      <c r="B136" s="2"/>
      <c r="C136" s="2"/>
      <c r="D136" s="5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18"/>
      <c r="P1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6" s="44">
        <f>Tabla1[[#This Row],[Cantidad Realizada]]*Tabla1[[#This Row],[VxU]]</f>
        <v>0</v>
      </c>
    </row>
    <row r="137" spans="1:17" x14ac:dyDescent="0.25">
      <c r="A137" s="2"/>
      <c r="B137" s="2"/>
      <c r="C137" s="2"/>
      <c r="D137" s="5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18"/>
      <c r="P1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7" s="44">
        <f>Tabla1[[#This Row],[Cantidad Realizada]]*Tabla1[[#This Row],[VxU]]</f>
        <v>0</v>
      </c>
    </row>
    <row r="138" spans="1:17" x14ac:dyDescent="0.25">
      <c r="A138" s="2"/>
      <c r="B138" s="2"/>
      <c r="C138" s="2"/>
      <c r="D138" s="5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18"/>
      <c r="P1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8" s="44">
        <f>Tabla1[[#This Row],[Cantidad Realizada]]*Tabla1[[#This Row],[VxU]]</f>
        <v>0</v>
      </c>
    </row>
    <row r="139" spans="1:17" x14ac:dyDescent="0.25">
      <c r="A139" s="2"/>
      <c r="B139" s="2"/>
      <c r="C139" s="2"/>
      <c r="D139" s="5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18"/>
      <c r="P1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39" s="44">
        <f>Tabla1[[#This Row],[Cantidad Realizada]]*Tabla1[[#This Row],[VxU]]</f>
        <v>0</v>
      </c>
    </row>
    <row r="140" spans="1:17" x14ac:dyDescent="0.25">
      <c r="A140" s="2"/>
      <c r="B140" s="2"/>
      <c r="C140" s="2"/>
      <c r="D140" s="5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18"/>
      <c r="P1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0" s="44">
        <f>Tabla1[[#This Row],[Cantidad Realizada]]*Tabla1[[#This Row],[VxU]]</f>
        <v>0</v>
      </c>
    </row>
    <row r="141" spans="1:17" x14ac:dyDescent="0.25">
      <c r="A141" s="38"/>
      <c r="B141" s="38"/>
      <c r="C141" s="38"/>
      <c r="D141" s="39"/>
      <c r="E141" s="39"/>
      <c r="F141" s="38"/>
      <c r="G141" s="38"/>
      <c r="H141" s="38"/>
      <c r="I141" s="38"/>
      <c r="J141" s="38"/>
      <c r="K141" s="38"/>
      <c r="L141" s="38"/>
      <c r="M141" s="38"/>
      <c r="N141" s="38"/>
      <c r="O141" s="40"/>
      <c r="P1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1" s="44">
        <f>Tabla1[[#This Row],[Cantidad Realizada]]*Tabla1[[#This Row],[VxU]]</f>
        <v>0</v>
      </c>
    </row>
    <row r="142" spans="1:17" x14ac:dyDescent="0.25">
      <c r="A142" s="2"/>
      <c r="B142" s="2"/>
      <c r="C142" s="2"/>
      <c r="D142" s="5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18"/>
      <c r="P1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2" s="44">
        <f>Tabla1[[#This Row],[Cantidad Realizada]]*Tabla1[[#This Row],[VxU]]</f>
        <v>0</v>
      </c>
    </row>
    <row r="143" spans="1:17" x14ac:dyDescent="0.25">
      <c r="A143" s="38"/>
      <c r="B143" s="38"/>
      <c r="C143" s="38"/>
      <c r="D143" s="39"/>
      <c r="E143" s="39"/>
      <c r="F143" s="38"/>
      <c r="G143" s="38"/>
      <c r="H143" s="38"/>
      <c r="I143" s="38"/>
      <c r="J143" s="38"/>
      <c r="K143" s="38"/>
      <c r="L143" s="38"/>
      <c r="M143" s="38"/>
      <c r="N143" s="38"/>
      <c r="O143" s="40"/>
      <c r="P1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3" s="44">
        <f>Tabla1[[#This Row],[Cantidad Realizada]]*Tabla1[[#This Row],[VxU]]</f>
        <v>0</v>
      </c>
    </row>
    <row r="144" spans="1:17" x14ac:dyDescent="0.25">
      <c r="A144" s="2"/>
      <c r="B144" s="2"/>
      <c r="C144" s="2"/>
      <c r="D144" s="5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18"/>
      <c r="P1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4" s="44">
        <f>Tabla1[[#This Row],[Cantidad Realizada]]*Tabla1[[#This Row],[VxU]]</f>
        <v>0</v>
      </c>
    </row>
    <row r="145" spans="1:17" x14ac:dyDescent="0.25">
      <c r="A145" s="2"/>
      <c r="B145" s="2"/>
      <c r="C145" s="2"/>
      <c r="D145" s="5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18"/>
      <c r="P1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5" s="44">
        <f>Tabla1[[#This Row],[Cantidad Realizada]]*Tabla1[[#This Row],[VxU]]</f>
        <v>0</v>
      </c>
    </row>
    <row r="146" spans="1:17" x14ac:dyDescent="0.25">
      <c r="A146" s="2"/>
      <c r="B146" s="2"/>
      <c r="C146" s="2"/>
      <c r="D146" s="5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18"/>
      <c r="P1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6" s="44">
        <f>Tabla1[[#This Row],[Cantidad Realizada]]*Tabla1[[#This Row],[VxU]]</f>
        <v>0</v>
      </c>
    </row>
    <row r="147" spans="1:17" x14ac:dyDescent="0.25">
      <c r="A147" s="2"/>
      <c r="B147" s="2"/>
      <c r="C147" s="2"/>
      <c r="D147" s="5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18"/>
      <c r="P1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7" s="44">
        <f>Tabla1[[#This Row],[Cantidad Realizada]]*Tabla1[[#This Row],[VxU]]</f>
        <v>0</v>
      </c>
    </row>
    <row r="148" spans="1:17" x14ac:dyDescent="0.25">
      <c r="A148" s="2"/>
      <c r="B148" s="2"/>
      <c r="C148" s="2"/>
      <c r="D148" s="5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18"/>
      <c r="P1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8" s="44">
        <f>Tabla1[[#This Row],[Cantidad Realizada]]*Tabla1[[#This Row],[VxU]]</f>
        <v>0</v>
      </c>
    </row>
    <row r="149" spans="1:17" x14ac:dyDescent="0.25">
      <c r="A149" s="38"/>
      <c r="B149" s="38"/>
      <c r="C149" s="38"/>
      <c r="D149" s="39"/>
      <c r="E149" s="39"/>
      <c r="F149" s="38"/>
      <c r="G149" s="38"/>
      <c r="H149" s="38"/>
      <c r="I149" s="38"/>
      <c r="J149" s="38"/>
      <c r="K149" s="38"/>
      <c r="L149" s="38"/>
      <c r="M149" s="38"/>
      <c r="N149" s="38"/>
      <c r="O149" s="40"/>
      <c r="P1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49" s="44">
        <f>Tabla1[[#This Row],[Cantidad Realizada]]*Tabla1[[#This Row],[VxU]]</f>
        <v>0</v>
      </c>
    </row>
    <row r="150" spans="1:17" x14ac:dyDescent="0.25">
      <c r="A150" s="2"/>
      <c r="B150" s="2"/>
      <c r="C150" s="2"/>
      <c r="D150" s="5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18"/>
      <c r="P1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0" s="44">
        <f>Tabla1[[#This Row],[Cantidad Realizada]]*Tabla1[[#This Row],[VxU]]</f>
        <v>0</v>
      </c>
    </row>
    <row r="151" spans="1:17" x14ac:dyDescent="0.25">
      <c r="A151" s="2"/>
      <c r="B151" s="2"/>
      <c r="C151" s="2"/>
      <c r="D151" s="5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18"/>
      <c r="P1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1" s="44">
        <f>Tabla1[[#This Row],[Cantidad Realizada]]*Tabla1[[#This Row],[VxU]]</f>
        <v>0</v>
      </c>
    </row>
    <row r="152" spans="1:17" x14ac:dyDescent="0.25">
      <c r="A152" s="2"/>
      <c r="B152" s="2"/>
      <c r="C152" s="2"/>
      <c r="D152" s="5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18"/>
      <c r="P1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2" s="44">
        <f>Tabla1[[#This Row],[Cantidad Realizada]]*Tabla1[[#This Row],[VxU]]</f>
        <v>0</v>
      </c>
    </row>
    <row r="153" spans="1:17" x14ac:dyDescent="0.25">
      <c r="A153" s="2"/>
      <c r="B153" s="2"/>
      <c r="C153" s="2"/>
      <c r="D153" s="5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18"/>
      <c r="P1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3" s="44">
        <f>Tabla1[[#This Row],[Cantidad Realizada]]*Tabla1[[#This Row],[VxU]]</f>
        <v>0</v>
      </c>
    </row>
    <row r="154" spans="1:17" x14ac:dyDescent="0.25">
      <c r="A154" s="2"/>
      <c r="B154" s="2"/>
      <c r="C154" s="2"/>
      <c r="D154" s="5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18"/>
      <c r="P1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4" s="44">
        <f>Tabla1[[#This Row],[Cantidad Realizada]]*Tabla1[[#This Row],[VxU]]</f>
        <v>0</v>
      </c>
    </row>
    <row r="155" spans="1:17" x14ac:dyDescent="0.25">
      <c r="A155" s="2"/>
      <c r="B155" s="2"/>
      <c r="C155" s="2"/>
      <c r="D155" s="5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18"/>
      <c r="P1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5" s="44">
        <f>Tabla1[[#This Row],[Cantidad Realizada]]*Tabla1[[#This Row],[VxU]]</f>
        <v>0</v>
      </c>
    </row>
    <row r="156" spans="1:17" x14ac:dyDescent="0.25">
      <c r="A156" s="2"/>
      <c r="B156" s="2"/>
      <c r="C156" s="2"/>
      <c r="D156" s="5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18"/>
      <c r="P1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6" s="44">
        <f>Tabla1[[#This Row],[Cantidad Realizada]]*Tabla1[[#This Row],[VxU]]</f>
        <v>0</v>
      </c>
    </row>
    <row r="157" spans="1:17" x14ac:dyDescent="0.25">
      <c r="A157" s="2"/>
      <c r="B157" s="2"/>
      <c r="C157" s="2"/>
      <c r="D157" s="5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18"/>
      <c r="P1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7" s="44">
        <f>Tabla1[[#This Row],[Cantidad Realizada]]*Tabla1[[#This Row],[VxU]]</f>
        <v>0</v>
      </c>
    </row>
    <row r="158" spans="1:17" x14ac:dyDescent="0.25">
      <c r="A158" s="2"/>
      <c r="B158" s="2"/>
      <c r="C158" s="2"/>
      <c r="D158" s="5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18"/>
      <c r="P1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8" s="44">
        <f>Tabla1[[#This Row],[Cantidad Realizada]]*Tabla1[[#This Row],[VxU]]</f>
        <v>0</v>
      </c>
    </row>
    <row r="159" spans="1:17" x14ac:dyDescent="0.25">
      <c r="A159" s="2"/>
      <c r="B159" s="2"/>
      <c r="C159" s="2"/>
      <c r="D159" s="5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18"/>
      <c r="P1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59" s="44">
        <f>Tabla1[[#This Row],[Cantidad Realizada]]*Tabla1[[#This Row],[VxU]]</f>
        <v>0</v>
      </c>
    </row>
    <row r="160" spans="1:17" x14ac:dyDescent="0.25">
      <c r="A160" s="2"/>
      <c r="B160" s="2"/>
      <c r="C160" s="2"/>
      <c r="D160" s="5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18"/>
      <c r="P1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0" s="44">
        <f>Tabla1[[#This Row],[Cantidad Realizada]]*Tabla1[[#This Row],[VxU]]</f>
        <v>0</v>
      </c>
    </row>
    <row r="161" spans="1:17" x14ac:dyDescent="0.25">
      <c r="A161" s="2"/>
      <c r="B161" s="2"/>
      <c r="C161" s="2"/>
      <c r="D161" s="5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18"/>
      <c r="P1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1" s="44">
        <f>Tabla1[[#This Row],[Cantidad Realizada]]*Tabla1[[#This Row],[VxU]]</f>
        <v>0</v>
      </c>
    </row>
    <row r="162" spans="1:17" x14ac:dyDescent="0.25">
      <c r="A162" s="2"/>
      <c r="B162" s="2"/>
      <c r="C162" s="2"/>
      <c r="D162" s="5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18"/>
      <c r="P1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2" s="44">
        <f>Tabla1[[#This Row],[Cantidad Realizada]]*Tabla1[[#This Row],[VxU]]</f>
        <v>0</v>
      </c>
    </row>
    <row r="163" spans="1:17" x14ac:dyDescent="0.25">
      <c r="A163" s="2"/>
      <c r="B163" s="2"/>
      <c r="C163" s="2"/>
      <c r="D163" s="5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18"/>
      <c r="P1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3" s="44">
        <f>Tabla1[[#This Row],[Cantidad Realizada]]*Tabla1[[#This Row],[VxU]]</f>
        <v>0</v>
      </c>
    </row>
    <row r="164" spans="1:17" x14ac:dyDescent="0.25">
      <c r="A164" s="38"/>
      <c r="B164" s="38"/>
      <c r="C164" s="38"/>
      <c r="D164" s="39"/>
      <c r="E164" s="39"/>
      <c r="F164" s="38"/>
      <c r="G164" s="38"/>
      <c r="H164" s="38"/>
      <c r="I164" s="38"/>
      <c r="J164" s="38"/>
      <c r="K164" s="38"/>
      <c r="L164" s="38"/>
      <c r="M164" s="38"/>
      <c r="N164" s="38"/>
      <c r="O164" s="40"/>
      <c r="P1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4" s="44">
        <f>Tabla1[[#This Row],[Cantidad Realizada]]*Tabla1[[#This Row],[VxU]]</f>
        <v>0</v>
      </c>
    </row>
    <row r="165" spans="1:17" x14ac:dyDescent="0.25">
      <c r="A165" s="2"/>
      <c r="B165" s="2"/>
      <c r="C165" s="2"/>
      <c r="D165" s="5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18"/>
      <c r="P1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5" s="44">
        <f>Tabla1[[#This Row],[Cantidad Realizada]]*Tabla1[[#This Row],[VxU]]</f>
        <v>0</v>
      </c>
    </row>
    <row r="166" spans="1:17" x14ac:dyDescent="0.25">
      <c r="A166" s="38"/>
      <c r="B166" s="38"/>
      <c r="C166" s="38"/>
      <c r="D166" s="39"/>
      <c r="E166" s="39"/>
      <c r="F166" s="38"/>
      <c r="G166" s="38"/>
      <c r="H166" s="38"/>
      <c r="I166" s="38"/>
      <c r="J166" s="38"/>
      <c r="K166" s="38"/>
      <c r="L166" s="38"/>
      <c r="M166" s="38"/>
      <c r="N166" s="38"/>
      <c r="O166" s="40"/>
      <c r="P1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6" s="44">
        <f>Tabla1[[#This Row],[Cantidad Realizada]]*Tabla1[[#This Row],[VxU]]</f>
        <v>0</v>
      </c>
    </row>
    <row r="167" spans="1:17" x14ac:dyDescent="0.25">
      <c r="A167" s="2"/>
      <c r="B167" s="2"/>
      <c r="C167" s="2"/>
      <c r="D167" s="5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18"/>
      <c r="P1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7" s="44">
        <f>Tabla1[[#This Row],[Cantidad Realizada]]*Tabla1[[#This Row],[VxU]]</f>
        <v>0</v>
      </c>
    </row>
    <row r="168" spans="1:17" x14ac:dyDescent="0.25">
      <c r="A168" s="38"/>
      <c r="B168" s="38"/>
      <c r="C168" s="38"/>
      <c r="D168" s="39"/>
      <c r="E168" s="39"/>
      <c r="F168" s="38"/>
      <c r="G168" s="38"/>
      <c r="H168" s="38"/>
      <c r="I168" s="38"/>
      <c r="J168" s="38"/>
      <c r="K168" s="38"/>
      <c r="L168" s="38"/>
      <c r="M168" s="38"/>
      <c r="N168" s="38"/>
      <c r="O168" s="40"/>
      <c r="P1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8" s="44">
        <f>Tabla1[[#This Row],[Cantidad Realizada]]*Tabla1[[#This Row],[VxU]]</f>
        <v>0</v>
      </c>
    </row>
    <row r="169" spans="1:17" x14ac:dyDescent="0.25">
      <c r="A169" s="2"/>
      <c r="B169" s="2"/>
      <c r="C169" s="2"/>
      <c r="D169" s="5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18"/>
      <c r="P1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69" s="44">
        <f>Tabla1[[#This Row],[Cantidad Realizada]]*Tabla1[[#This Row],[VxU]]</f>
        <v>0</v>
      </c>
    </row>
    <row r="170" spans="1:17" x14ac:dyDescent="0.25">
      <c r="A170" s="2"/>
      <c r="B170" s="2"/>
      <c r="C170" s="2"/>
      <c r="D170" s="5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18"/>
      <c r="P1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0" s="44">
        <f>Tabla1[[#This Row],[Cantidad Realizada]]*Tabla1[[#This Row],[VxU]]</f>
        <v>0</v>
      </c>
    </row>
    <row r="171" spans="1:17" x14ac:dyDescent="0.25">
      <c r="A171" s="38"/>
      <c r="B171" s="38"/>
      <c r="C171" s="38"/>
      <c r="D171" s="39"/>
      <c r="E171" s="39"/>
      <c r="F171" s="38"/>
      <c r="G171" s="38"/>
      <c r="H171" s="38"/>
      <c r="I171" s="38"/>
      <c r="J171" s="38"/>
      <c r="K171" s="38"/>
      <c r="L171" s="38"/>
      <c r="M171" s="38"/>
      <c r="N171" s="38"/>
      <c r="O171" s="40"/>
      <c r="P1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1" s="44">
        <f>Tabla1[[#This Row],[Cantidad Realizada]]*Tabla1[[#This Row],[VxU]]</f>
        <v>0</v>
      </c>
    </row>
    <row r="172" spans="1:17" x14ac:dyDescent="0.25">
      <c r="A172" s="2"/>
      <c r="B172" s="2"/>
      <c r="C172" s="2"/>
      <c r="D172" s="5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18"/>
      <c r="P1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2" s="44">
        <f>Tabla1[[#This Row],[Cantidad Realizada]]*Tabla1[[#This Row],[VxU]]</f>
        <v>0</v>
      </c>
    </row>
    <row r="173" spans="1:17" x14ac:dyDescent="0.25">
      <c r="A173" s="38"/>
      <c r="B173" s="38"/>
      <c r="C173" s="38"/>
      <c r="D173" s="39"/>
      <c r="E173" s="39"/>
      <c r="F173" s="38"/>
      <c r="G173" s="38"/>
      <c r="H173" s="38"/>
      <c r="I173" s="38"/>
      <c r="J173" s="38"/>
      <c r="K173" s="38"/>
      <c r="L173" s="38"/>
      <c r="M173" s="38"/>
      <c r="N173" s="38"/>
      <c r="O173" s="40"/>
      <c r="P1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3" s="44">
        <f>Tabla1[[#This Row],[Cantidad Realizada]]*Tabla1[[#This Row],[VxU]]</f>
        <v>0</v>
      </c>
    </row>
    <row r="174" spans="1:17" x14ac:dyDescent="0.25">
      <c r="A174" s="2"/>
      <c r="B174" s="2"/>
      <c r="C174" s="2"/>
      <c r="D174" s="5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18"/>
      <c r="P1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4" s="44">
        <f>Tabla1[[#This Row],[Cantidad Realizada]]*Tabla1[[#This Row],[VxU]]</f>
        <v>0</v>
      </c>
    </row>
    <row r="175" spans="1:17" x14ac:dyDescent="0.25">
      <c r="A175" s="2"/>
      <c r="B175" s="2"/>
      <c r="C175" s="2"/>
      <c r="D175" s="5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18"/>
      <c r="P1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5" s="44">
        <f>Tabla1[[#This Row],[Cantidad Realizada]]*Tabla1[[#This Row],[VxU]]</f>
        <v>0</v>
      </c>
    </row>
    <row r="176" spans="1:17" x14ac:dyDescent="0.25">
      <c r="A176" s="2"/>
      <c r="B176" s="2"/>
      <c r="C176" s="2"/>
      <c r="D176" s="5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18"/>
      <c r="P1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6" s="44">
        <f>Tabla1[[#This Row],[Cantidad Realizada]]*Tabla1[[#This Row],[VxU]]</f>
        <v>0</v>
      </c>
    </row>
    <row r="177" spans="1:17" x14ac:dyDescent="0.25">
      <c r="A177" s="2"/>
      <c r="B177" s="2"/>
      <c r="C177" s="2"/>
      <c r="D177" s="5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18"/>
      <c r="P1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7" s="44">
        <f>Tabla1[[#This Row],[Cantidad Realizada]]*Tabla1[[#This Row],[VxU]]</f>
        <v>0</v>
      </c>
    </row>
    <row r="178" spans="1:17" x14ac:dyDescent="0.25">
      <c r="A178" s="2"/>
      <c r="B178" s="2"/>
      <c r="C178" s="2"/>
      <c r="D178" s="5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18"/>
      <c r="P1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8" s="44">
        <f>Tabla1[[#This Row],[Cantidad Realizada]]*Tabla1[[#This Row],[VxU]]</f>
        <v>0</v>
      </c>
    </row>
    <row r="179" spans="1:17" x14ac:dyDescent="0.25">
      <c r="A179" s="38"/>
      <c r="B179" s="38"/>
      <c r="C179" s="38"/>
      <c r="D179" s="39"/>
      <c r="E179" s="39"/>
      <c r="F179" s="38"/>
      <c r="G179" s="38"/>
      <c r="H179" s="38"/>
      <c r="I179" s="38"/>
      <c r="J179" s="38"/>
      <c r="K179" s="38"/>
      <c r="L179" s="38"/>
      <c r="M179" s="38"/>
      <c r="N179" s="38"/>
      <c r="O179" s="40"/>
      <c r="P1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79" s="44">
        <f>Tabla1[[#This Row],[Cantidad Realizada]]*Tabla1[[#This Row],[VxU]]</f>
        <v>0</v>
      </c>
    </row>
    <row r="180" spans="1:17" x14ac:dyDescent="0.25">
      <c r="A180" s="2"/>
      <c r="B180" s="2"/>
      <c r="C180" s="2"/>
      <c r="D180" s="5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18"/>
      <c r="P1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0" s="44">
        <f>Tabla1[[#This Row],[Cantidad Realizada]]*Tabla1[[#This Row],[VxU]]</f>
        <v>0</v>
      </c>
    </row>
    <row r="181" spans="1:17" x14ac:dyDescent="0.25">
      <c r="A181" s="2"/>
      <c r="B181" s="2"/>
      <c r="C181" s="2"/>
      <c r="D181" s="5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18"/>
      <c r="P1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1" s="44">
        <f>Tabla1[[#This Row],[Cantidad Realizada]]*Tabla1[[#This Row],[VxU]]</f>
        <v>0</v>
      </c>
    </row>
    <row r="182" spans="1:17" x14ac:dyDescent="0.25">
      <c r="A182" s="2"/>
      <c r="B182" s="2"/>
      <c r="C182" s="2"/>
      <c r="D182" s="5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18"/>
      <c r="P1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2" s="44">
        <f>Tabla1[[#This Row],[Cantidad Realizada]]*Tabla1[[#This Row],[VxU]]</f>
        <v>0</v>
      </c>
    </row>
    <row r="183" spans="1:17" x14ac:dyDescent="0.25">
      <c r="A183" s="2"/>
      <c r="B183" s="2"/>
      <c r="C183" s="2"/>
      <c r="D183" s="5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18"/>
      <c r="P1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3" s="44">
        <f>Tabla1[[#This Row],[Cantidad Realizada]]*Tabla1[[#This Row],[VxU]]</f>
        <v>0</v>
      </c>
    </row>
    <row r="184" spans="1:17" x14ac:dyDescent="0.25">
      <c r="A184" s="2"/>
      <c r="B184" s="2"/>
      <c r="C184" s="2"/>
      <c r="D184" s="5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18"/>
      <c r="P1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4" s="44">
        <f>Tabla1[[#This Row],[Cantidad Realizada]]*Tabla1[[#This Row],[VxU]]</f>
        <v>0</v>
      </c>
    </row>
    <row r="185" spans="1:17" x14ac:dyDescent="0.25">
      <c r="A185" s="2"/>
      <c r="B185" s="2"/>
      <c r="C185" s="2"/>
      <c r="D185" s="5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18"/>
      <c r="P1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5" s="44">
        <f>Tabla1[[#This Row],[Cantidad Realizada]]*Tabla1[[#This Row],[VxU]]</f>
        <v>0</v>
      </c>
    </row>
    <row r="186" spans="1:17" x14ac:dyDescent="0.25">
      <c r="A186" s="2"/>
      <c r="B186" s="2"/>
      <c r="C186" s="2"/>
      <c r="D186" s="5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18"/>
      <c r="P1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6" s="44">
        <f>Tabla1[[#This Row],[Cantidad Realizada]]*Tabla1[[#This Row],[VxU]]</f>
        <v>0</v>
      </c>
    </row>
    <row r="187" spans="1:17" x14ac:dyDescent="0.25">
      <c r="A187" s="2"/>
      <c r="B187" s="2"/>
      <c r="C187" s="2"/>
      <c r="D187" s="5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18"/>
      <c r="P1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7" s="44">
        <f>Tabla1[[#This Row],[Cantidad Realizada]]*Tabla1[[#This Row],[VxU]]</f>
        <v>0</v>
      </c>
    </row>
    <row r="188" spans="1:17" x14ac:dyDescent="0.25">
      <c r="A188" s="2"/>
      <c r="B188" s="2"/>
      <c r="C188" s="2"/>
      <c r="D188" s="5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18"/>
      <c r="P1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8" s="44">
        <f>Tabla1[[#This Row],[Cantidad Realizada]]*Tabla1[[#This Row],[VxU]]</f>
        <v>0</v>
      </c>
    </row>
    <row r="189" spans="1:17" x14ac:dyDescent="0.25">
      <c r="A189" s="2"/>
      <c r="B189" s="2"/>
      <c r="C189" s="2"/>
      <c r="D189" s="5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18"/>
      <c r="P1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89" s="44">
        <f>Tabla1[[#This Row],[Cantidad Realizada]]*Tabla1[[#This Row],[VxU]]</f>
        <v>0</v>
      </c>
    </row>
    <row r="190" spans="1:17" x14ac:dyDescent="0.25">
      <c r="A190" s="2"/>
      <c r="B190" s="2"/>
      <c r="C190" s="2"/>
      <c r="D190" s="5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18"/>
      <c r="P1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0" s="44">
        <f>Tabla1[[#This Row],[Cantidad Realizada]]*Tabla1[[#This Row],[VxU]]</f>
        <v>0</v>
      </c>
    </row>
    <row r="191" spans="1:17" x14ac:dyDescent="0.25">
      <c r="A191" s="2"/>
      <c r="B191" s="2"/>
      <c r="C191" s="2"/>
      <c r="D191" s="5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18"/>
      <c r="P1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1" s="44">
        <f>Tabla1[[#This Row],[Cantidad Realizada]]*Tabla1[[#This Row],[VxU]]</f>
        <v>0</v>
      </c>
    </row>
    <row r="192" spans="1:17" x14ac:dyDescent="0.25">
      <c r="A192" s="2"/>
      <c r="B192" s="2"/>
      <c r="C192" s="2"/>
      <c r="D192" s="5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18"/>
      <c r="P1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2" s="44">
        <f>Tabla1[[#This Row],[Cantidad Realizada]]*Tabla1[[#This Row],[VxU]]</f>
        <v>0</v>
      </c>
    </row>
    <row r="193" spans="1:17" x14ac:dyDescent="0.25">
      <c r="A193" s="2"/>
      <c r="B193" s="2"/>
      <c r="C193" s="2"/>
      <c r="D193" s="5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18"/>
      <c r="P1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3" s="44">
        <f>Tabla1[[#This Row],[Cantidad Realizada]]*Tabla1[[#This Row],[VxU]]</f>
        <v>0</v>
      </c>
    </row>
    <row r="194" spans="1:17" x14ac:dyDescent="0.25">
      <c r="A194" s="2"/>
      <c r="B194" s="2"/>
      <c r="C194" s="2"/>
      <c r="D194" s="5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18"/>
      <c r="P1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4" s="44">
        <f>Tabla1[[#This Row],[Cantidad Realizada]]*Tabla1[[#This Row],[VxU]]</f>
        <v>0</v>
      </c>
    </row>
    <row r="195" spans="1:17" x14ac:dyDescent="0.25">
      <c r="A195" s="2"/>
      <c r="B195" s="2"/>
      <c r="C195" s="2"/>
      <c r="D195" s="5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18"/>
      <c r="P1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5" s="44">
        <f>Tabla1[[#This Row],[Cantidad Realizada]]*Tabla1[[#This Row],[VxU]]</f>
        <v>0</v>
      </c>
    </row>
    <row r="196" spans="1:17" x14ac:dyDescent="0.25">
      <c r="A196" s="2"/>
      <c r="B196" s="2"/>
      <c r="C196" s="2"/>
      <c r="D196" s="5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18"/>
      <c r="P1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6" s="44">
        <f>Tabla1[[#This Row],[Cantidad Realizada]]*Tabla1[[#This Row],[VxU]]</f>
        <v>0</v>
      </c>
    </row>
    <row r="197" spans="1:17" x14ac:dyDescent="0.25">
      <c r="A197" s="2"/>
      <c r="B197" s="2"/>
      <c r="C197" s="2"/>
      <c r="D197" s="5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18"/>
      <c r="P1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7" s="44">
        <f>Tabla1[[#This Row],[Cantidad Realizada]]*Tabla1[[#This Row],[VxU]]</f>
        <v>0</v>
      </c>
    </row>
    <row r="198" spans="1:17" x14ac:dyDescent="0.25">
      <c r="A198" s="2"/>
      <c r="B198" s="2"/>
      <c r="C198" s="2"/>
      <c r="D198" s="5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18"/>
      <c r="P1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8" s="44">
        <f>Tabla1[[#This Row],[Cantidad Realizada]]*Tabla1[[#This Row],[VxU]]</f>
        <v>0</v>
      </c>
    </row>
    <row r="199" spans="1:17" x14ac:dyDescent="0.25">
      <c r="A199" s="2"/>
      <c r="B199" s="2"/>
      <c r="C199" s="2"/>
      <c r="D199" s="5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18"/>
      <c r="P1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199" s="44">
        <f>Tabla1[[#This Row],[Cantidad Realizada]]*Tabla1[[#This Row],[VxU]]</f>
        <v>0</v>
      </c>
    </row>
    <row r="200" spans="1:17" x14ac:dyDescent="0.25">
      <c r="A200" s="2"/>
      <c r="B200" s="2"/>
      <c r="C200" s="2"/>
      <c r="D200" s="5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18"/>
      <c r="P2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0" s="44">
        <f>Tabla1[[#This Row],[Cantidad Realizada]]*Tabla1[[#This Row],[VxU]]</f>
        <v>0</v>
      </c>
    </row>
    <row r="201" spans="1:17" x14ac:dyDescent="0.25">
      <c r="A201" s="2"/>
      <c r="B201" s="2"/>
      <c r="C201" s="2"/>
      <c r="D201" s="5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18"/>
      <c r="P2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1" s="44">
        <f>Tabla1[[#This Row],[Cantidad Realizada]]*Tabla1[[#This Row],[VxU]]</f>
        <v>0</v>
      </c>
    </row>
    <row r="202" spans="1:17" x14ac:dyDescent="0.25">
      <c r="A202" s="2"/>
      <c r="B202" s="2"/>
      <c r="C202" s="2"/>
      <c r="D202" s="5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18"/>
      <c r="P2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2" s="44">
        <f>Tabla1[[#This Row],[Cantidad Realizada]]*Tabla1[[#This Row],[VxU]]</f>
        <v>0</v>
      </c>
    </row>
    <row r="203" spans="1:17" x14ac:dyDescent="0.25">
      <c r="A203" s="38"/>
      <c r="B203" s="38"/>
      <c r="C203" s="38"/>
      <c r="D203" s="39"/>
      <c r="E203" s="39"/>
      <c r="F203" s="38"/>
      <c r="G203" s="38"/>
      <c r="H203" s="38"/>
      <c r="I203" s="38"/>
      <c r="J203" s="38"/>
      <c r="K203" s="38"/>
      <c r="L203" s="38"/>
      <c r="M203" s="38"/>
      <c r="N203" s="38"/>
      <c r="O203" s="40"/>
      <c r="P2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3" s="44">
        <f>Tabla1[[#This Row],[Cantidad Realizada]]*Tabla1[[#This Row],[VxU]]</f>
        <v>0</v>
      </c>
    </row>
    <row r="204" spans="1:17" x14ac:dyDescent="0.25">
      <c r="A204" s="2"/>
      <c r="B204" s="2"/>
      <c r="C204" s="2"/>
      <c r="D204" s="5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18"/>
      <c r="P2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4" s="44">
        <f>Tabla1[[#This Row],[Cantidad Realizada]]*Tabla1[[#This Row],[VxU]]</f>
        <v>0</v>
      </c>
    </row>
    <row r="205" spans="1:17" x14ac:dyDescent="0.25">
      <c r="A205" s="2"/>
      <c r="B205" s="2"/>
      <c r="C205" s="2"/>
      <c r="D205" s="5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18"/>
      <c r="P2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5" s="44">
        <f>Tabla1[[#This Row],[Cantidad Realizada]]*Tabla1[[#This Row],[VxU]]</f>
        <v>0</v>
      </c>
    </row>
    <row r="206" spans="1:17" x14ac:dyDescent="0.25">
      <c r="A206" s="2"/>
      <c r="B206" s="2"/>
      <c r="C206" s="2"/>
      <c r="D206" s="5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18"/>
      <c r="P2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6" s="44">
        <f>Tabla1[[#This Row],[Cantidad Realizada]]*Tabla1[[#This Row],[VxU]]</f>
        <v>0</v>
      </c>
    </row>
    <row r="207" spans="1:17" x14ac:dyDescent="0.25">
      <c r="A207" s="2"/>
      <c r="B207" s="2"/>
      <c r="C207" s="2"/>
      <c r="D207" s="5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18"/>
      <c r="P2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7" s="44">
        <f>Tabla1[[#This Row],[Cantidad Realizada]]*Tabla1[[#This Row],[VxU]]</f>
        <v>0</v>
      </c>
    </row>
    <row r="208" spans="1:17" x14ac:dyDescent="0.25">
      <c r="A208" s="2"/>
      <c r="B208" s="2"/>
      <c r="C208" s="2"/>
      <c r="D208" s="5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18"/>
      <c r="P2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8" s="44">
        <f>Tabla1[[#This Row],[Cantidad Realizada]]*Tabla1[[#This Row],[VxU]]</f>
        <v>0</v>
      </c>
    </row>
    <row r="209" spans="1:17" x14ac:dyDescent="0.25">
      <c r="A209" s="2"/>
      <c r="B209" s="2"/>
      <c r="C209" s="2"/>
      <c r="D209" s="5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18"/>
      <c r="P2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09" s="44">
        <f>Tabla1[[#This Row],[Cantidad Realizada]]*Tabla1[[#This Row],[VxU]]</f>
        <v>0</v>
      </c>
    </row>
    <row r="210" spans="1:17" x14ac:dyDescent="0.25">
      <c r="A210" s="2"/>
      <c r="B210" s="2"/>
      <c r="C210" s="2"/>
      <c r="D210" s="5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18"/>
      <c r="P2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0" s="44">
        <f>Tabla1[[#This Row],[Cantidad Realizada]]*Tabla1[[#This Row],[VxU]]</f>
        <v>0</v>
      </c>
    </row>
    <row r="211" spans="1:17" x14ac:dyDescent="0.25">
      <c r="A211" s="2"/>
      <c r="B211" s="2"/>
      <c r="C211" s="2"/>
      <c r="D211" s="5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18"/>
      <c r="P2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1" s="44">
        <f>Tabla1[[#This Row],[Cantidad Realizada]]*Tabla1[[#This Row],[VxU]]</f>
        <v>0</v>
      </c>
    </row>
    <row r="212" spans="1:17" x14ac:dyDescent="0.25">
      <c r="A212" s="2"/>
      <c r="B212" s="2"/>
      <c r="C212" s="2"/>
      <c r="D212" s="5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18"/>
      <c r="P2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2" s="44">
        <f>Tabla1[[#This Row],[Cantidad Realizada]]*Tabla1[[#This Row],[VxU]]</f>
        <v>0</v>
      </c>
    </row>
    <row r="213" spans="1:17" x14ac:dyDescent="0.25">
      <c r="A213" s="38"/>
      <c r="B213" s="38"/>
      <c r="C213" s="38"/>
      <c r="D213" s="39"/>
      <c r="E213" s="39"/>
      <c r="F213" s="38"/>
      <c r="G213" s="38"/>
      <c r="H213" s="38"/>
      <c r="I213" s="38"/>
      <c r="J213" s="38"/>
      <c r="K213" s="38"/>
      <c r="L213" s="38"/>
      <c r="M213" s="38"/>
      <c r="N213" s="38"/>
      <c r="O213" s="40"/>
      <c r="P2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3" s="44">
        <f>Tabla1[[#This Row],[Cantidad Realizada]]*Tabla1[[#This Row],[VxU]]</f>
        <v>0</v>
      </c>
    </row>
    <row r="214" spans="1:17" x14ac:dyDescent="0.25">
      <c r="A214" s="2"/>
      <c r="B214" s="2"/>
      <c r="C214" s="2"/>
      <c r="D214" s="5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18"/>
      <c r="P2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4" s="44">
        <f>Tabla1[[#This Row],[Cantidad Realizada]]*Tabla1[[#This Row],[VxU]]</f>
        <v>0</v>
      </c>
    </row>
    <row r="215" spans="1:17" x14ac:dyDescent="0.25">
      <c r="A215" s="2"/>
      <c r="B215" s="2"/>
      <c r="C215" s="2"/>
      <c r="D215" s="5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18"/>
      <c r="P2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5" s="44">
        <f>Tabla1[[#This Row],[Cantidad Realizada]]*Tabla1[[#This Row],[VxU]]</f>
        <v>0</v>
      </c>
    </row>
    <row r="216" spans="1:17" x14ac:dyDescent="0.25">
      <c r="A216" s="2"/>
      <c r="B216" s="2"/>
      <c r="C216" s="2"/>
      <c r="D216" s="5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18"/>
      <c r="P2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6" s="44">
        <f>Tabla1[[#This Row],[Cantidad Realizada]]*Tabla1[[#This Row],[VxU]]</f>
        <v>0</v>
      </c>
    </row>
    <row r="217" spans="1:17" x14ac:dyDescent="0.25">
      <c r="A217" s="2"/>
      <c r="B217" s="2"/>
      <c r="C217" s="2"/>
      <c r="D217" s="5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18"/>
      <c r="P2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7" s="44">
        <f>Tabla1[[#This Row],[Cantidad Realizada]]*Tabla1[[#This Row],[VxU]]</f>
        <v>0</v>
      </c>
    </row>
    <row r="218" spans="1:17" x14ac:dyDescent="0.25">
      <c r="A218" s="2"/>
      <c r="B218" s="2"/>
      <c r="C218" s="2"/>
      <c r="D218" s="5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18"/>
      <c r="P2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8" s="44">
        <f>Tabla1[[#This Row],[Cantidad Realizada]]*Tabla1[[#This Row],[VxU]]</f>
        <v>0</v>
      </c>
    </row>
    <row r="219" spans="1:17" x14ac:dyDescent="0.25">
      <c r="A219" s="38"/>
      <c r="B219" s="38"/>
      <c r="C219" s="38"/>
      <c r="D219" s="39"/>
      <c r="E219" s="39"/>
      <c r="F219" s="38"/>
      <c r="G219" s="38"/>
      <c r="H219" s="38"/>
      <c r="I219" s="38"/>
      <c r="J219" s="38"/>
      <c r="K219" s="38"/>
      <c r="L219" s="38"/>
      <c r="M219" s="38"/>
      <c r="N219" s="38"/>
      <c r="O219" s="40"/>
      <c r="P2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19" s="44">
        <f>Tabla1[[#This Row],[Cantidad Realizada]]*Tabla1[[#This Row],[VxU]]</f>
        <v>0</v>
      </c>
    </row>
    <row r="220" spans="1:17" x14ac:dyDescent="0.25">
      <c r="A220" s="2"/>
      <c r="B220" s="2"/>
      <c r="C220" s="2"/>
      <c r="D220" s="5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18"/>
      <c r="P2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0" s="44">
        <f>Tabla1[[#This Row],[Cantidad Realizada]]*Tabla1[[#This Row],[VxU]]</f>
        <v>0</v>
      </c>
    </row>
    <row r="221" spans="1:17" x14ac:dyDescent="0.25">
      <c r="A221" s="2"/>
      <c r="B221" s="2"/>
      <c r="C221" s="2"/>
      <c r="D221" s="5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18"/>
      <c r="P2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1" s="44">
        <f>Tabla1[[#This Row],[Cantidad Realizada]]*Tabla1[[#This Row],[VxU]]</f>
        <v>0</v>
      </c>
    </row>
    <row r="222" spans="1:17" x14ac:dyDescent="0.25">
      <c r="A222" s="2"/>
      <c r="B222" s="2"/>
      <c r="C222" s="2"/>
      <c r="D222" s="5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18"/>
      <c r="P2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2" s="44">
        <f>Tabla1[[#This Row],[Cantidad Realizada]]*Tabla1[[#This Row],[VxU]]</f>
        <v>0</v>
      </c>
    </row>
    <row r="223" spans="1:17" x14ac:dyDescent="0.25">
      <c r="A223" s="2"/>
      <c r="B223" s="2"/>
      <c r="C223" s="2"/>
      <c r="D223" s="5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18"/>
      <c r="P2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3" s="44">
        <f>Tabla1[[#This Row],[Cantidad Realizada]]*Tabla1[[#This Row],[VxU]]</f>
        <v>0</v>
      </c>
    </row>
    <row r="224" spans="1:17" x14ac:dyDescent="0.25">
      <c r="A224" s="2"/>
      <c r="B224" s="2"/>
      <c r="C224" s="2"/>
      <c r="D224" s="5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18"/>
      <c r="P2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4" s="44">
        <f>Tabla1[[#This Row],[Cantidad Realizada]]*Tabla1[[#This Row],[VxU]]</f>
        <v>0</v>
      </c>
    </row>
    <row r="225" spans="1:17" x14ac:dyDescent="0.25">
      <c r="A225" s="2"/>
      <c r="B225" s="2"/>
      <c r="C225" s="2"/>
      <c r="D225" s="5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18"/>
      <c r="P2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5" s="44">
        <f>Tabla1[[#This Row],[Cantidad Realizada]]*Tabla1[[#This Row],[VxU]]</f>
        <v>0</v>
      </c>
    </row>
    <row r="226" spans="1:17" x14ac:dyDescent="0.25">
      <c r="A226" s="2"/>
      <c r="B226" s="2"/>
      <c r="C226" s="2"/>
      <c r="D226" s="5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18"/>
      <c r="P2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6" s="44">
        <f>Tabla1[[#This Row],[Cantidad Realizada]]*Tabla1[[#This Row],[VxU]]</f>
        <v>0</v>
      </c>
    </row>
    <row r="227" spans="1:17" x14ac:dyDescent="0.25">
      <c r="A227" s="2"/>
      <c r="B227" s="2"/>
      <c r="C227" s="2"/>
      <c r="D227" s="5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18"/>
      <c r="P2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7" s="44">
        <f>Tabla1[[#This Row],[Cantidad Realizada]]*Tabla1[[#This Row],[VxU]]</f>
        <v>0</v>
      </c>
    </row>
    <row r="228" spans="1:17" x14ac:dyDescent="0.25">
      <c r="A228" s="2"/>
      <c r="B228" s="2"/>
      <c r="C228" s="2"/>
      <c r="D228" s="5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18"/>
      <c r="P2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8" s="44">
        <f>Tabla1[[#This Row],[Cantidad Realizada]]*Tabla1[[#This Row],[VxU]]</f>
        <v>0</v>
      </c>
    </row>
    <row r="229" spans="1:17" x14ac:dyDescent="0.25">
      <c r="A229" s="2"/>
      <c r="B229" s="2"/>
      <c r="C229" s="2"/>
      <c r="D229" s="5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18"/>
      <c r="P2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29" s="44">
        <f>Tabla1[[#This Row],[Cantidad Realizada]]*Tabla1[[#This Row],[VxU]]</f>
        <v>0</v>
      </c>
    </row>
    <row r="230" spans="1:17" x14ac:dyDescent="0.25">
      <c r="A230" s="2"/>
      <c r="B230" s="2"/>
      <c r="C230" s="2"/>
      <c r="D230" s="5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18"/>
      <c r="P2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0" s="44">
        <f>Tabla1[[#This Row],[Cantidad Realizada]]*Tabla1[[#This Row],[VxU]]</f>
        <v>0</v>
      </c>
    </row>
    <row r="231" spans="1:17" x14ac:dyDescent="0.25">
      <c r="A231" s="2"/>
      <c r="B231" s="2"/>
      <c r="C231" s="2"/>
      <c r="D231" s="5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18"/>
      <c r="P2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1" s="44">
        <f>Tabla1[[#This Row],[Cantidad Realizada]]*Tabla1[[#This Row],[VxU]]</f>
        <v>0</v>
      </c>
    </row>
    <row r="232" spans="1:17" x14ac:dyDescent="0.25">
      <c r="A232" s="2"/>
      <c r="B232" s="2"/>
      <c r="C232" s="2"/>
      <c r="D232" s="5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18"/>
      <c r="P2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2" s="44">
        <f>Tabla1[[#This Row],[Cantidad Realizada]]*Tabla1[[#This Row],[VxU]]</f>
        <v>0</v>
      </c>
    </row>
    <row r="233" spans="1:17" x14ac:dyDescent="0.25">
      <c r="A233" s="2"/>
      <c r="B233" s="2"/>
      <c r="C233" s="2"/>
      <c r="D233" s="5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18"/>
      <c r="P2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3" s="44">
        <f>Tabla1[[#This Row],[Cantidad Realizada]]*Tabla1[[#This Row],[VxU]]</f>
        <v>0</v>
      </c>
    </row>
    <row r="234" spans="1:17" x14ac:dyDescent="0.25">
      <c r="A234" s="2"/>
      <c r="B234" s="2"/>
      <c r="C234" s="2"/>
      <c r="D234" s="5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18"/>
      <c r="P2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4" s="44">
        <f>Tabla1[[#This Row],[Cantidad Realizada]]*Tabla1[[#This Row],[VxU]]</f>
        <v>0</v>
      </c>
    </row>
    <row r="235" spans="1:17" x14ac:dyDescent="0.25">
      <c r="A235" s="2"/>
      <c r="B235" s="2"/>
      <c r="C235" s="2"/>
      <c r="D235" s="5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18"/>
      <c r="P2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5" s="44">
        <f>Tabla1[[#This Row],[Cantidad Realizada]]*Tabla1[[#This Row],[VxU]]</f>
        <v>0</v>
      </c>
    </row>
    <row r="236" spans="1:17" x14ac:dyDescent="0.25">
      <c r="A236" s="2"/>
      <c r="B236" s="2"/>
      <c r="C236" s="2"/>
      <c r="D236" s="5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18"/>
      <c r="P2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6" s="44">
        <f>Tabla1[[#This Row],[Cantidad Realizada]]*Tabla1[[#This Row],[VxU]]</f>
        <v>0</v>
      </c>
    </row>
    <row r="237" spans="1:17" x14ac:dyDescent="0.25">
      <c r="A237" s="2"/>
      <c r="B237" s="2"/>
      <c r="C237" s="2"/>
      <c r="D237" s="5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18"/>
      <c r="P2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7" s="44">
        <f>Tabla1[[#This Row],[Cantidad Realizada]]*Tabla1[[#This Row],[VxU]]</f>
        <v>0</v>
      </c>
    </row>
    <row r="238" spans="1:17" x14ac:dyDescent="0.25">
      <c r="A238" s="2"/>
      <c r="B238" s="2"/>
      <c r="C238" s="2"/>
      <c r="D238" s="5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18"/>
      <c r="P2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8" s="44">
        <f>Tabla1[[#This Row],[Cantidad Realizada]]*Tabla1[[#This Row],[VxU]]</f>
        <v>0</v>
      </c>
    </row>
    <row r="239" spans="1:17" x14ac:dyDescent="0.25">
      <c r="A239" s="2"/>
      <c r="B239" s="2"/>
      <c r="C239" s="2"/>
      <c r="D239" s="5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18"/>
      <c r="P2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39" s="44">
        <f>Tabla1[[#This Row],[Cantidad Realizada]]*Tabla1[[#This Row],[VxU]]</f>
        <v>0</v>
      </c>
    </row>
    <row r="240" spans="1:17" x14ac:dyDescent="0.25">
      <c r="A240" s="2"/>
      <c r="B240" s="2"/>
      <c r="C240" s="2"/>
      <c r="D240" s="5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18"/>
      <c r="P2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0" s="44">
        <f>Tabla1[[#This Row],[Cantidad Realizada]]*Tabla1[[#This Row],[VxU]]</f>
        <v>0</v>
      </c>
    </row>
    <row r="241" spans="1:17" x14ac:dyDescent="0.25">
      <c r="A241" s="2"/>
      <c r="B241" s="2"/>
      <c r="C241" s="2"/>
      <c r="D241" s="5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18"/>
      <c r="P2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1" s="44">
        <f>Tabla1[[#This Row],[Cantidad Realizada]]*Tabla1[[#This Row],[VxU]]</f>
        <v>0</v>
      </c>
    </row>
    <row r="242" spans="1:17" x14ac:dyDescent="0.25">
      <c r="A242" s="2"/>
      <c r="B242" s="2"/>
      <c r="C242" s="2"/>
      <c r="D242" s="5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18"/>
      <c r="P2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2" s="44">
        <f>Tabla1[[#This Row],[Cantidad Realizada]]*Tabla1[[#This Row],[VxU]]</f>
        <v>0</v>
      </c>
    </row>
    <row r="243" spans="1:17" x14ac:dyDescent="0.25">
      <c r="A243" s="2"/>
      <c r="B243" s="2"/>
      <c r="C243" s="2"/>
      <c r="D243" s="5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18"/>
      <c r="P2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3" s="44">
        <f>Tabla1[[#This Row],[Cantidad Realizada]]*Tabla1[[#This Row],[VxU]]</f>
        <v>0</v>
      </c>
    </row>
    <row r="244" spans="1:17" x14ac:dyDescent="0.25">
      <c r="A244" s="2"/>
      <c r="B244" s="2"/>
      <c r="C244" s="2"/>
      <c r="D244" s="5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18"/>
      <c r="P2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4" s="44">
        <f>Tabla1[[#This Row],[Cantidad Realizada]]*Tabla1[[#This Row],[VxU]]</f>
        <v>0</v>
      </c>
    </row>
    <row r="245" spans="1:17" x14ac:dyDescent="0.25">
      <c r="A245" s="2"/>
      <c r="B245" s="2"/>
      <c r="C245" s="2"/>
      <c r="D245" s="5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18"/>
      <c r="P2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5" s="44">
        <f>Tabla1[[#This Row],[Cantidad Realizada]]*Tabla1[[#This Row],[VxU]]</f>
        <v>0</v>
      </c>
    </row>
    <row r="246" spans="1:17" x14ac:dyDescent="0.25">
      <c r="A246" s="2"/>
      <c r="B246" s="2"/>
      <c r="C246" s="2"/>
      <c r="D246" s="5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18"/>
      <c r="P2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6" s="44">
        <f>Tabla1[[#This Row],[Cantidad Realizada]]*Tabla1[[#This Row],[VxU]]</f>
        <v>0</v>
      </c>
    </row>
    <row r="247" spans="1:17" x14ac:dyDescent="0.25">
      <c r="A247" s="2"/>
      <c r="B247" s="2"/>
      <c r="C247" s="2"/>
      <c r="D247" s="5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18"/>
      <c r="P2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7" s="44">
        <f>Tabla1[[#This Row],[Cantidad Realizada]]*Tabla1[[#This Row],[VxU]]</f>
        <v>0</v>
      </c>
    </row>
    <row r="248" spans="1:17" x14ac:dyDescent="0.25">
      <c r="A248" s="2"/>
      <c r="B248" s="2"/>
      <c r="C248" s="2"/>
      <c r="D248" s="5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18"/>
      <c r="P2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8" s="44">
        <f>Tabla1[[#This Row],[Cantidad Realizada]]*Tabla1[[#This Row],[VxU]]</f>
        <v>0</v>
      </c>
    </row>
    <row r="249" spans="1:17" x14ac:dyDescent="0.25">
      <c r="A249" s="2"/>
      <c r="B249" s="2"/>
      <c r="C249" s="2"/>
      <c r="D249" s="5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18"/>
      <c r="P2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49" s="44">
        <f>Tabla1[[#This Row],[Cantidad Realizada]]*Tabla1[[#This Row],[VxU]]</f>
        <v>0</v>
      </c>
    </row>
    <row r="250" spans="1:17" x14ac:dyDescent="0.25">
      <c r="A250" s="2"/>
      <c r="B250" s="2"/>
      <c r="C250" s="2"/>
      <c r="D250" s="5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18"/>
      <c r="P2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0" s="44">
        <f>Tabla1[[#This Row],[Cantidad Realizada]]*Tabla1[[#This Row],[VxU]]</f>
        <v>0</v>
      </c>
    </row>
    <row r="251" spans="1:17" x14ac:dyDescent="0.25">
      <c r="A251" s="38"/>
      <c r="B251" s="38"/>
      <c r="C251" s="38"/>
      <c r="D251" s="39"/>
      <c r="E251" s="39"/>
      <c r="F251" s="38"/>
      <c r="G251" s="38"/>
      <c r="H251" s="38"/>
      <c r="I251" s="38"/>
      <c r="J251" s="38"/>
      <c r="K251" s="38"/>
      <c r="L251" s="38"/>
      <c r="M251" s="38"/>
      <c r="N251" s="38"/>
      <c r="O251" s="40"/>
      <c r="P2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1" s="44">
        <f>Tabla1[[#This Row],[Cantidad Realizada]]*Tabla1[[#This Row],[VxU]]</f>
        <v>0</v>
      </c>
    </row>
    <row r="252" spans="1:17" x14ac:dyDescent="0.25">
      <c r="A252" s="2"/>
      <c r="B252" s="2"/>
      <c r="C252" s="2"/>
      <c r="D252" s="5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18"/>
      <c r="P2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2" s="44">
        <f>Tabla1[[#This Row],[Cantidad Realizada]]*Tabla1[[#This Row],[VxU]]</f>
        <v>0</v>
      </c>
    </row>
    <row r="253" spans="1:17" x14ac:dyDescent="0.25">
      <c r="A253" s="38"/>
      <c r="B253" s="38"/>
      <c r="C253" s="38"/>
      <c r="D253" s="39"/>
      <c r="E253" s="39"/>
      <c r="F253" s="38"/>
      <c r="G253" s="38"/>
      <c r="H253" s="38"/>
      <c r="I253" s="38"/>
      <c r="J253" s="38"/>
      <c r="K253" s="38"/>
      <c r="L253" s="38"/>
      <c r="M253" s="38"/>
      <c r="N253" s="38"/>
      <c r="O253" s="40"/>
      <c r="P2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3" s="44">
        <f>Tabla1[[#This Row],[Cantidad Realizada]]*Tabla1[[#This Row],[VxU]]</f>
        <v>0</v>
      </c>
    </row>
    <row r="254" spans="1:17" x14ac:dyDescent="0.25">
      <c r="A254" s="2"/>
      <c r="B254" s="2"/>
      <c r="C254" s="2"/>
      <c r="D254" s="5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18"/>
      <c r="P2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4" s="44">
        <f>Tabla1[[#This Row],[Cantidad Realizada]]*Tabla1[[#This Row],[VxU]]</f>
        <v>0</v>
      </c>
    </row>
    <row r="255" spans="1:17" x14ac:dyDescent="0.25">
      <c r="A255" s="2"/>
      <c r="B255" s="2"/>
      <c r="C255" s="2"/>
      <c r="D255" s="5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18"/>
      <c r="P2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5" s="44">
        <f>Tabla1[[#This Row],[Cantidad Realizada]]*Tabla1[[#This Row],[VxU]]</f>
        <v>0</v>
      </c>
    </row>
    <row r="256" spans="1:17" x14ac:dyDescent="0.25">
      <c r="A256" s="2"/>
      <c r="B256" s="2"/>
      <c r="C256" s="2"/>
      <c r="D256" s="5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18"/>
      <c r="P2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6" s="44">
        <f>Tabla1[[#This Row],[Cantidad Realizada]]*Tabla1[[#This Row],[VxU]]</f>
        <v>0</v>
      </c>
    </row>
    <row r="257" spans="1:17" x14ac:dyDescent="0.25">
      <c r="A257" s="2"/>
      <c r="B257" s="2"/>
      <c r="C257" s="2"/>
      <c r="D257" s="5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18"/>
      <c r="P2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7" s="44">
        <f>Tabla1[[#This Row],[Cantidad Realizada]]*Tabla1[[#This Row],[VxU]]</f>
        <v>0</v>
      </c>
    </row>
    <row r="258" spans="1:17" x14ac:dyDescent="0.25">
      <c r="A258" s="2"/>
      <c r="B258" s="2"/>
      <c r="C258" s="2"/>
      <c r="D258" s="5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18"/>
      <c r="P2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8" s="44">
        <f>Tabla1[[#This Row],[Cantidad Realizada]]*Tabla1[[#This Row],[VxU]]</f>
        <v>0</v>
      </c>
    </row>
    <row r="259" spans="1:17" x14ac:dyDescent="0.25">
      <c r="A259" s="2"/>
      <c r="B259" s="2"/>
      <c r="C259" s="2"/>
      <c r="D259" s="5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18"/>
      <c r="P2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59" s="44">
        <f>Tabla1[[#This Row],[Cantidad Realizada]]*Tabla1[[#This Row],[VxU]]</f>
        <v>0</v>
      </c>
    </row>
    <row r="260" spans="1:17" x14ac:dyDescent="0.25">
      <c r="A260" s="2"/>
      <c r="B260" s="2"/>
      <c r="C260" s="2"/>
      <c r="D260" s="5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18"/>
      <c r="P2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0" s="44">
        <f>Tabla1[[#This Row],[Cantidad Realizada]]*Tabla1[[#This Row],[VxU]]</f>
        <v>0</v>
      </c>
    </row>
    <row r="261" spans="1:17" x14ac:dyDescent="0.25">
      <c r="A261" s="2"/>
      <c r="B261" s="2"/>
      <c r="C261" s="2"/>
      <c r="D261" s="5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18"/>
      <c r="P2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1" s="44">
        <f>Tabla1[[#This Row],[Cantidad Realizada]]*Tabla1[[#This Row],[VxU]]</f>
        <v>0</v>
      </c>
    </row>
    <row r="262" spans="1:17" x14ac:dyDescent="0.25">
      <c r="A262" s="2"/>
      <c r="B262" s="2"/>
      <c r="C262" s="2"/>
      <c r="D262" s="5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18"/>
      <c r="P2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2" s="44">
        <f>Tabla1[[#This Row],[Cantidad Realizada]]*Tabla1[[#This Row],[VxU]]</f>
        <v>0</v>
      </c>
    </row>
    <row r="263" spans="1:17" x14ac:dyDescent="0.25">
      <c r="A263" s="2"/>
      <c r="B263" s="2"/>
      <c r="C263" s="2"/>
      <c r="D263" s="5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18"/>
      <c r="P2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3" s="44">
        <f>Tabla1[[#This Row],[Cantidad Realizada]]*Tabla1[[#This Row],[VxU]]</f>
        <v>0</v>
      </c>
    </row>
    <row r="264" spans="1:17" x14ac:dyDescent="0.25">
      <c r="A264" s="2"/>
      <c r="B264" s="2"/>
      <c r="C264" s="2"/>
      <c r="D264" s="5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18"/>
      <c r="P2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4" s="44">
        <f>Tabla1[[#This Row],[Cantidad Realizada]]*Tabla1[[#This Row],[VxU]]</f>
        <v>0</v>
      </c>
    </row>
    <row r="265" spans="1:17" x14ac:dyDescent="0.25">
      <c r="A265" s="2"/>
      <c r="B265" s="2"/>
      <c r="C265" s="2"/>
      <c r="D265" s="5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18"/>
      <c r="P2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5" s="44">
        <f>Tabla1[[#This Row],[Cantidad Realizada]]*Tabla1[[#This Row],[VxU]]</f>
        <v>0</v>
      </c>
    </row>
    <row r="266" spans="1:17" x14ac:dyDescent="0.25">
      <c r="A266" s="2"/>
      <c r="B266" s="2"/>
      <c r="C266" s="2"/>
      <c r="D266" s="5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18"/>
      <c r="P2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6" s="44">
        <f>Tabla1[[#This Row],[Cantidad Realizada]]*Tabla1[[#This Row],[VxU]]</f>
        <v>0</v>
      </c>
    </row>
    <row r="267" spans="1:17" x14ac:dyDescent="0.25">
      <c r="A267" s="2"/>
      <c r="B267" s="2"/>
      <c r="C267" s="2"/>
      <c r="D267" s="5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18"/>
      <c r="P2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7" s="44">
        <f>Tabla1[[#This Row],[Cantidad Realizada]]*Tabla1[[#This Row],[VxU]]</f>
        <v>0</v>
      </c>
    </row>
    <row r="268" spans="1:17" x14ac:dyDescent="0.25">
      <c r="A268" s="2"/>
      <c r="B268" s="2"/>
      <c r="C268" s="2"/>
      <c r="D268" s="5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18"/>
      <c r="P2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8" s="44">
        <f>Tabla1[[#This Row],[Cantidad Realizada]]*Tabla1[[#This Row],[VxU]]</f>
        <v>0</v>
      </c>
    </row>
    <row r="269" spans="1:17" x14ac:dyDescent="0.25">
      <c r="A269" s="2"/>
      <c r="B269" s="2"/>
      <c r="C269" s="2"/>
      <c r="D269" s="5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18"/>
      <c r="P2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69" s="44">
        <f>Tabla1[[#This Row],[Cantidad Realizada]]*Tabla1[[#This Row],[VxU]]</f>
        <v>0</v>
      </c>
    </row>
    <row r="270" spans="1:17" x14ac:dyDescent="0.25">
      <c r="A270" s="2"/>
      <c r="B270" s="2"/>
      <c r="C270" s="2"/>
      <c r="D270" s="5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18"/>
      <c r="P2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0" s="44">
        <f>Tabla1[[#This Row],[Cantidad Realizada]]*Tabla1[[#This Row],[VxU]]</f>
        <v>0</v>
      </c>
    </row>
    <row r="271" spans="1:17" x14ac:dyDescent="0.25">
      <c r="A271" s="2"/>
      <c r="B271" s="2"/>
      <c r="C271" s="2"/>
      <c r="D271" s="5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18"/>
      <c r="P2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1" s="44">
        <f>Tabla1[[#This Row],[Cantidad Realizada]]*Tabla1[[#This Row],[VxU]]</f>
        <v>0</v>
      </c>
    </row>
    <row r="272" spans="1:17" x14ac:dyDescent="0.25">
      <c r="A272" s="2"/>
      <c r="B272" s="2"/>
      <c r="C272" s="2"/>
      <c r="D272" s="5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18"/>
      <c r="P2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2" s="44">
        <f>Tabla1[[#This Row],[Cantidad Realizada]]*Tabla1[[#This Row],[VxU]]</f>
        <v>0</v>
      </c>
    </row>
    <row r="273" spans="1:17" x14ac:dyDescent="0.25">
      <c r="A273" s="2"/>
      <c r="B273" s="2"/>
      <c r="C273" s="2"/>
      <c r="D273" s="5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18"/>
      <c r="P2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3" s="44">
        <f>Tabla1[[#This Row],[Cantidad Realizada]]*Tabla1[[#This Row],[VxU]]</f>
        <v>0</v>
      </c>
    </row>
    <row r="274" spans="1:17" x14ac:dyDescent="0.25">
      <c r="A274" s="2"/>
      <c r="B274" s="2"/>
      <c r="C274" s="2"/>
      <c r="D274" s="5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18"/>
      <c r="P2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4" s="44">
        <f>Tabla1[[#This Row],[Cantidad Realizada]]*Tabla1[[#This Row],[VxU]]</f>
        <v>0</v>
      </c>
    </row>
    <row r="275" spans="1:17" x14ac:dyDescent="0.25">
      <c r="A275" s="2"/>
      <c r="B275" s="2"/>
      <c r="C275" s="2"/>
      <c r="D275" s="5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18"/>
      <c r="P2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5" s="44">
        <f>Tabla1[[#This Row],[Cantidad Realizada]]*Tabla1[[#This Row],[VxU]]</f>
        <v>0</v>
      </c>
    </row>
    <row r="276" spans="1:17" x14ac:dyDescent="0.25">
      <c r="A276" s="2"/>
      <c r="B276" s="2"/>
      <c r="C276" s="2"/>
      <c r="D276" s="5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18"/>
      <c r="P2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6" s="44">
        <f>Tabla1[[#This Row],[Cantidad Realizada]]*Tabla1[[#This Row],[VxU]]</f>
        <v>0</v>
      </c>
    </row>
    <row r="277" spans="1:17" x14ac:dyDescent="0.25">
      <c r="A277" s="2"/>
      <c r="B277" s="2"/>
      <c r="C277" s="2"/>
      <c r="D277" s="5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18"/>
      <c r="P2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7" s="44">
        <f>Tabla1[[#This Row],[Cantidad Realizada]]*Tabla1[[#This Row],[VxU]]</f>
        <v>0</v>
      </c>
    </row>
    <row r="278" spans="1:17" x14ac:dyDescent="0.25">
      <c r="A278" s="2"/>
      <c r="B278" s="2"/>
      <c r="C278" s="2"/>
      <c r="D278" s="5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18"/>
      <c r="P2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8" s="44">
        <f>Tabla1[[#This Row],[Cantidad Realizada]]*Tabla1[[#This Row],[VxU]]</f>
        <v>0</v>
      </c>
    </row>
    <row r="279" spans="1:17" x14ac:dyDescent="0.25">
      <c r="A279" s="2"/>
      <c r="B279" s="2"/>
      <c r="C279" s="2"/>
      <c r="D279" s="5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18"/>
      <c r="P2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79" s="44">
        <f>Tabla1[[#This Row],[Cantidad Realizada]]*Tabla1[[#This Row],[VxU]]</f>
        <v>0</v>
      </c>
    </row>
    <row r="280" spans="1:17" x14ac:dyDescent="0.25">
      <c r="A280" s="2"/>
      <c r="B280" s="2"/>
      <c r="C280" s="2"/>
      <c r="D280" s="5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18"/>
      <c r="P2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0" s="44">
        <f>Tabla1[[#This Row],[Cantidad Realizada]]*Tabla1[[#This Row],[VxU]]</f>
        <v>0</v>
      </c>
    </row>
    <row r="281" spans="1:17" x14ac:dyDescent="0.25">
      <c r="A281" s="2"/>
      <c r="B281" s="2"/>
      <c r="C281" s="2"/>
      <c r="D281" s="5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18"/>
      <c r="P2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1" s="44">
        <f>Tabla1[[#This Row],[Cantidad Realizada]]*Tabla1[[#This Row],[VxU]]</f>
        <v>0</v>
      </c>
    </row>
    <row r="282" spans="1:17" x14ac:dyDescent="0.25">
      <c r="A282" s="2"/>
      <c r="B282" s="2"/>
      <c r="C282" s="2"/>
      <c r="D282" s="5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18"/>
      <c r="P2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2" s="44">
        <f>Tabla1[[#This Row],[Cantidad Realizada]]*Tabla1[[#This Row],[VxU]]</f>
        <v>0</v>
      </c>
    </row>
    <row r="283" spans="1:17" x14ac:dyDescent="0.25">
      <c r="A283" s="2"/>
      <c r="B283" s="2"/>
      <c r="C283" s="2"/>
      <c r="D283" s="5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18"/>
      <c r="P2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3" s="44">
        <f>Tabla1[[#This Row],[Cantidad Realizada]]*Tabla1[[#This Row],[VxU]]</f>
        <v>0</v>
      </c>
    </row>
    <row r="284" spans="1:17" x14ac:dyDescent="0.25">
      <c r="A284" s="2"/>
      <c r="B284" s="2"/>
      <c r="C284" s="2"/>
      <c r="D284" s="5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18"/>
      <c r="P2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4" s="44">
        <f>Tabla1[[#This Row],[Cantidad Realizada]]*Tabla1[[#This Row],[VxU]]</f>
        <v>0</v>
      </c>
    </row>
    <row r="285" spans="1:17" x14ac:dyDescent="0.25">
      <c r="A285" s="2"/>
      <c r="B285" s="2"/>
      <c r="C285" s="2"/>
      <c r="D285" s="5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18"/>
      <c r="P2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5" s="44">
        <f>Tabla1[[#This Row],[Cantidad Realizada]]*Tabla1[[#This Row],[VxU]]</f>
        <v>0</v>
      </c>
    </row>
    <row r="286" spans="1:17" x14ac:dyDescent="0.25">
      <c r="A286" s="2"/>
      <c r="B286" s="2"/>
      <c r="C286" s="2"/>
      <c r="D286" s="5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18"/>
      <c r="P2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6" s="44">
        <f>Tabla1[[#This Row],[Cantidad Realizada]]*Tabla1[[#This Row],[VxU]]</f>
        <v>0</v>
      </c>
    </row>
    <row r="287" spans="1:17" x14ac:dyDescent="0.25">
      <c r="A287" s="2"/>
      <c r="B287" s="2"/>
      <c r="C287" s="2"/>
      <c r="D287" s="5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18"/>
      <c r="P2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7" s="44">
        <f>Tabla1[[#This Row],[Cantidad Realizada]]*Tabla1[[#This Row],[VxU]]</f>
        <v>0</v>
      </c>
    </row>
    <row r="288" spans="1:17" x14ac:dyDescent="0.25">
      <c r="A288" s="2"/>
      <c r="B288" s="2"/>
      <c r="C288" s="2"/>
      <c r="D288" s="5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18"/>
      <c r="P2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8" s="44">
        <f>Tabla1[[#This Row],[Cantidad Realizada]]*Tabla1[[#This Row],[VxU]]</f>
        <v>0</v>
      </c>
    </row>
    <row r="289" spans="1:17" x14ac:dyDescent="0.25">
      <c r="A289" s="2"/>
      <c r="B289" s="2"/>
      <c r="C289" s="2"/>
      <c r="D289" s="5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18"/>
      <c r="P2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89" s="44">
        <f>Tabla1[[#This Row],[Cantidad Realizada]]*Tabla1[[#This Row],[VxU]]</f>
        <v>0</v>
      </c>
    </row>
    <row r="290" spans="1:17" x14ac:dyDescent="0.25">
      <c r="A290" s="2"/>
      <c r="B290" s="2"/>
      <c r="C290" s="2"/>
      <c r="D290" s="5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18"/>
      <c r="P2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0" s="44">
        <f>Tabla1[[#This Row],[Cantidad Realizada]]*Tabla1[[#This Row],[VxU]]</f>
        <v>0</v>
      </c>
    </row>
    <row r="291" spans="1:17" x14ac:dyDescent="0.25">
      <c r="A291" s="2"/>
      <c r="B291" s="2"/>
      <c r="C291" s="2"/>
      <c r="D291" s="5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18"/>
      <c r="P2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1" s="44">
        <f>Tabla1[[#This Row],[Cantidad Realizada]]*Tabla1[[#This Row],[VxU]]</f>
        <v>0</v>
      </c>
    </row>
    <row r="292" spans="1:17" x14ac:dyDescent="0.25">
      <c r="A292" s="38"/>
      <c r="B292" s="38"/>
      <c r="C292" s="38"/>
      <c r="D292" s="39"/>
      <c r="E292" s="39"/>
      <c r="F292" s="38"/>
      <c r="G292" s="38"/>
      <c r="H292" s="38"/>
      <c r="I292" s="38"/>
      <c r="J292" s="38"/>
      <c r="K292" s="38"/>
      <c r="L292" s="38"/>
      <c r="M292" s="38"/>
      <c r="N292" s="38"/>
      <c r="O292" s="40"/>
      <c r="P2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2" s="44">
        <f>Tabla1[[#This Row],[Cantidad Realizada]]*Tabla1[[#This Row],[VxU]]</f>
        <v>0</v>
      </c>
    </row>
    <row r="293" spans="1:17" x14ac:dyDescent="0.25">
      <c r="A293" s="41"/>
      <c r="B293" s="41"/>
      <c r="C293" s="41"/>
      <c r="D293" s="42"/>
      <c r="E293" s="42"/>
      <c r="F293" s="41"/>
      <c r="G293" s="41"/>
      <c r="H293" s="41"/>
      <c r="I293" s="41"/>
      <c r="J293" s="41"/>
      <c r="K293" s="41"/>
      <c r="L293" s="41"/>
      <c r="M293" s="41"/>
      <c r="N293" s="41"/>
      <c r="O293" s="43"/>
      <c r="P2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3" s="44">
        <f>Tabla1[[#This Row],[Cantidad Realizada]]*Tabla1[[#This Row],[VxU]]</f>
        <v>0</v>
      </c>
    </row>
    <row r="294" spans="1:17" x14ac:dyDescent="0.25">
      <c r="A294" s="2"/>
      <c r="B294" s="2"/>
      <c r="C294" s="2"/>
      <c r="D294" s="5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18"/>
      <c r="P2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4" s="44">
        <f>Tabla1[[#This Row],[Cantidad Realizada]]*Tabla1[[#This Row],[VxU]]</f>
        <v>0</v>
      </c>
    </row>
    <row r="295" spans="1:17" x14ac:dyDescent="0.25">
      <c r="A295" s="2"/>
      <c r="B295" s="2"/>
      <c r="C295" s="2"/>
      <c r="D295" s="5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18"/>
      <c r="P2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5" s="44">
        <f>Tabla1[[#This Row],[Cantidad Realizada]]*Tabla1[[#This Row],[VxU]]</f>
        <v>0</v>
      </c>
    </row>
    <row r="296" spans="1:17" x14ac:dyDescent="0.25">
      <c r="A296" s="2"/>
      <c r="B296" s="2"/>
      <c r="C296" s="2"/>
      <c r="D296" s="5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18"/>
      <c r="P2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6" s="44">
        <f>Tabla1[[#This Row],[Cantidad Realizada]]*Tabla1[[#This Row],[VxU]]</f>
        <v>0</v>
      </c>
    </row>
    <row r="297" spans="1:17" x14ac:dyDescent="0.25">
      <c r="A297" s="2"/>
      <c r="B297" s="2"/>
      <c r="C297" s="2"/>
      <c r="D297" s="5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18"/>
      <c r="P2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7" s="44">
        <f>Tabla1[[#This Row],[Cantidad Realizada]]*Tabla1[[#This Row],[VxU]]</f>
        <v>0</v>
      </c>
    </row>
    <row r="298" spans="1:17" x14ac:dyDescent="0.25">
      <c r="A298" s="2"/>
      <c r="B298" s="2"/>
      <c r="C298" s="2"/>
      <c r="D298" s="5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18"/>
      <c r="P2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8" s="44">
        <f>Tabla1[[#This Row],[Cantidad Realizada]]*Tabla1[[#This Row],[VxU]]</f>
        <v>0</v>
      </c>
    </row>
    <row r="299" spans="1:17" x14ac:dyDescent="0.25">
      <c r="A299" s="2"/>
      <c r="B299" s="2"/>
      <c r="C299" s="2"/>
      <c r="D299" s="5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18"/>
      <c r="P2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299" s="44">
        <f>Tabla1[[#This Row],[Cantidad Realizada]]*Tabla1[[#This Row],[VxU]]</f>
        <v>0</v>
      </c>
    </row>
    <row r="300" spans="1:17" x14ac:dyDescent="0.25">
      <c r="A300" s="2"/>
      <c r="B300" s="2"/>
      <c r="C300" s="2"/>
      <c r="D300" s="5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18"/>
      <c r="P3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0" s="44">
        <f>Tabla1[[#This Row],[Cantidad Realizada]]*Tabla1[[#This Row],[VxU]]</f>
        <v>0</v>
      </c>
    </row>
    <row r="301" spans="1:17" x14ac:dyDescent="0.25">
      <c r="A301" s="2"/>
      <c r="B301" s="2"/>
      <c r="C301" s="2"/>
      <c r="D301" s="5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18"/>
      <c r="P3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1" s="44">
        <f>Tabla1[[#This Row],[Cantidad Realizada]]*Tabla1[[#This Row],[VxU]]</f>
        <v>0</v>
      </c>
    </row>
    <row r="302" spans="1:17" x14ac:dyDescent="0.25">
      <c r="A302" s="2"/>
      <c r="B302" s="2"/>
      <c r="C302" s="2"/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18"/>
      <c r="P3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2" s="44">
        <f>Tabla1[[#This Row],[Cantidad Realizada]]*Tabla1[[#This Row],[VxU]]</f>
        <v>0</v>
      </c>
    </row>
    <row r="303" spans="1:17" x14ac:dyDescent="0.25">
      <c r="A303" s="2"/>
      <c r="B303" s="2"/>
      <c r="C303" s="2"/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18"/>
      <c r="P3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3" s="44">
        <f>Tabla1[[#This Row],[Cantidad Realizada]]*Tabla1[[#This Row],[VxU]]</f>
        <v>0</v>
      </c>
    </row>
    <row r="304" spans="1:17" x14ac:dyDescent="0.25">
      <c r="A304" s="2"/>
      <c r="B304" s="2"/>
      <c r="C304" s="2"/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18"/>
      <c r="P3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4" s="44">
        <f>Tabla1[[#This Row],[Cantidad Realizada]]*Tabla1[[#This Row],[VxU]]</f>
        <v>0</v>
      </c>
    </row>
    <row r="305" spans="1:17" x14ac:dyDescent="0.25">
      <c r="A305" s="2"/>
      <c r="B305" s="2"/>
      <c r="C305" s="2"/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18"/>
      <c r="P3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5" s="44">
        <f>Tabla1[[#This Row],[Cantidad Realizada]]*Tabla1[[#This Row],[VxU]]</f>
        <v>0</v>
      </c>
    </row>
    <row r="306" spans="1:17" x14ac:dyDescent="0.25">
      <c r="A306" s="2"/>
      <c r="B306" s="2"/>
      <c r="C306" s="2"/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18"/>
      <c r="P3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6" s="44">
        <f>Tabla1[[#This Row],[Cantidad Realizada]]*Tabla1[[#This Row],[VxU]]</f>
        <v>0</v>
      </c>
    </row>
    <row r="307" spans="1:17" x14ac:dyDescent="0.25">
      <c r="A307" s="2"/>
      <c r="B307" s="2"/>
      <c r="C307" s="2"/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18"/>
      <c r="P3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7" s="44">
        <f>Tabla1[[#This Row],[Cantidad Realizada]]*Tabla1[[#This Row],[VxU]]</f>
        <v>0</v>
      </c>
    </row>
    <row r="308" spans="1:17" x14ac:dyDescent="0.25">
      <c r="A308" s="38"/>
      <c r="B308" s="38"/>
      <c r="C308" s="38"/>
      <c r="D308" s="39"/>
      <c r="E308" s="39"/>
      <c r="F308" s="38"/>
      <c r="G308" s="38"/>
      <c r="H308" s="38"/>
      <c r="I308" s="38"/>
      <c r="J308" s="38"/>
      <c r="K308" s="38"/>
      <c r="L308" s="38"/>
      <c r="M308" s="38"/>
      <c r="N308" s="38"/>
      <c r="O308" s="40"/>
      <c r="P3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8" s="44">
        <f>Tabla1[[#This Row],[Cantidad Realizada]]*Tabla1[[#This Row],[VxU]]</f>
        <v>0</v>
      </c>
    </row>
    <row r="309" spans="1:17" x14ac:dyDescent="0.25">
      <c r="A309" s="2"/>
      <c r="B309" s="2"/>
      <c r="C309" s="2"/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18"/>
      <c r="P3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09" s="44">
        <f>Tabla1[[#This Row],[Cantidad Realizada]]*Tabla1[[#This Row],[VxU]]</f>
        <v>0</v>
      </c>
    </row>
    <row r="310" spans="1:17" x14ac:dyDescent="0.25">
      <c r="A310" s="2"/>
      <c r="B310" s="2"/>
      <c r="C310" s="2"/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18"/>
      <c r="P3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0" s="44">
        <f>Tabla1[[#This Row],[Cantidad Realizada]]*Tabla1[[#This Row],[VxU]]</f>
        <v>0</v>
      </c>
    </row>
    <row r="311" spans="1:17" x14ac:dyDescent="0.25">
      <c r="A311" s="38"/>
      <c r="B311" s="38"/>
      <c r="C311" s="38"/>
      <c r="D311" s="39"/>
      <c r="E311" s="39"/>
      <c r="F311" s="38"/>
      <c r="G311" s="38"/>
      <c r="H311" s="38"/>
      <c r="I311" s="38"/>
      <c r="J311" s="38"/>
      <c r="K311" s="38"/>
      <c r="L311" s="38"/>
      <c r="M311" s="38"/>
      <c r="N311" s="38"/>
      <c r="O311" s="40"/>
      <c r="P3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1" s="44">
        <f>Tabla1[[#This Row],[Cantidad Realizada]]*Tabla1[[#This Row],[VxU]]</f>
        <v>0</v>
      </c>
    </row>
    <row r="312" spans="1:17" x14ac:dyDescent="0.25">
      <c r="A312" s="41"/>
      <c r="B312" s="41"/>
      <c r="C312" s="41"/>
      <c r="D312" s="42"/>
      <c r="E312" s="42"/>
      <c r="F312" s="41"/>
      <c r="G312" s="41"/>
      <c r="H312" s="41"/>
      <c r="I312" s="41"/>
      <c r="J312" s="41"/>
      <c r="K312" s="41"/>
      <c r="L312" s="41"/>
      <c r="M312" s="41"/>
      <c r="N312" s="41"/>
      <c r="O312" s="43"/>
      <c r="P3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2" s="44">
        <f>Tabla1[[#This Row],[Cantidad Realizada]]*Tabla1[[#This Row],[VxU]]</f>
        <v>0</v>
      </c>
    </row>
    <row r="313" spans="1:17" x14ac:dyDescent="0.25">
      <c r="A313" s="2"/>
      <c r="B313" s="2"/>
      <c r="C313" s="2"/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18"/>
      <c r="P3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3" s="44">
        <f>Tabla1[[#This Row],[Cantidad Realizada]]*Tabla1[[#This Row],[VxU]]</f>
        <v>0</v>
      </c>
    </row>
    <row r="314" spans="1:17" x14ac:dyDescent="0.25">
      <c r="A314" s="2"/>
      <c r="B314" s="2"/>
      <c r="C314" s="2"/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18"/>
      <c r="P3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4" s="44">
        <f>Tabla1[[#This Row],[Cantidad Realizada]]*Tabla1[[#This Row],[VxU]]</f>
        <v>0</v>
      </c>
    </row>
    <row r="315" spans="1:17" x14ac:dyDescent="0.25">
      <c r="A315" s="2"/>
      <c r="B315" s="2"/>
      <c r="C315" s="2"/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18"/>
      <c r="P3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5" s="44">
        <f>Tabla1[[#This Row],[Cantidad Realizada]]*Tabla1[[#This Row],[VxU]]</f>
        <v>0</v>
      </c>
    </row>
    <row r="316" spans="1:17" x14ac:dyDescent="0.25">
      <c r="A316" s="2"/>
      <c r="B316" s="2"/>
      <c r="C316" s="2"/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18"/>
      <c r="P3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6" s="44">
        <f>Tabla1[[#This Row],[Cantidad Realizada]]*Tabla1[[#This Row],[VxU]]</f>
        <v>0</v>
      </c>
    </row>
    <row r="317" spans="1:17" x14ac:dyDescent="0.25">
      <c r="A317" s="2"/>
      <c r="B317" s="2"/>
      <c r="C317" s="2"/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18"/>
      <c r="P3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7" s="44">
        <f>Tabla1[[#This Row],[Cantidad Realizada]]*Tabla1[[#This Row],[VxU]]</f>
        <v>0</v>
      </c>
    </row>
    <row r="318" spans="1:17" x14ac:dyDescent="0.25">
      <c r="A318" s="2"/>
      <c r="B318" s="2"/>
      <c r="C318" s="2"/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18"/>
      <c r="P3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8" s="44">
        <f>Tabla1[[#This Row],[Cantidad Realizada]]*Tabla1[[#This Row],[VxU]]</f>
        <v>0</v>
      </c>
    </row>
    <row r="319" spans="1:17" x14ac:dyDescent="0.25">
      <c r="A319" s="2"/>
      <c r="B319" s="2"/>
      <c r="C319" s="2"/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18"/>
      <c r="P3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19" s="44">
        <f>Tabla1[[#This Row],[Cantidad Realizada]]*Tabla1[[#This Row],[VxU]]</f>
        <v>0</v>
      </c>
    </row>
    <row r="320" spans="1:17" x14ac:dyDescent="0.25">
      <c r="A320" s="2"/>
      <c r="B320" s="2"/>
      <c r="C320" s="2"/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18"/>
      <c r="P3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0" s="44">
        <f>Tabla1[[#This Row],[Cantidad Realizada]]*Tabla1[[#This Row],[VxU]]</f>
        <v>0</v>
      </c>
    </row>
    <row r="321" spans="1:17" x14ac:dyDescent="0.25">
      <c r="A321" s="2"/>
      <c r="B321" s="2"/>
      <c r="C321" s="2"/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18"/>
      <c r="P3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1" s="44">
        <f>Tabla1[[#This Row],[Cantidad Realizada]]*Tabla1[[#This Row],[VxU]]</f>
        <v>0</v>
      </c>
    </row>
    <row r="322" spans="1:17" x14ac:dyDescent="0.25">
      <c r="A322" s="2"/>
      <c r="B322" s="2"/>
      <c r="C322" s="2"/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18"/>
      <c r="P3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2" s="44">
        <f>Tabla1[[#This Row],[Cantidad Realizada]]*Tabla1[[#This Row],[VxU]]</f>
        <v>0</v>
      </c>
    </row>
    <row r="323" spans="1:17" x14ac:dyDescent="0.25">
      <c r="A323" s="2"/>
      <c r="B323" s="2"/>
      <c r="C323" s="2"/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18"/>
      <c r="P3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3" s="44">
        <f>Tabla1[[#This Row],[Cantidad Realizada]]*Tabla1[[#This Row],[VxU]]</f>
        <v>0</v>
      </c>
    </row>
    <row r="324" spans="1:17" x14ac:dyDescent="0.25">
      <c r="A324" s="2"/>
      <c r="B324" s="2"/>
      <c r="C324" s="2"/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18"/>
      <c r="P3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4" s="44">
        <f>Tabla1[[#This Row],[Cantidad Realizada]]*Tabla1[[#This Row],[VxU]]</f>
        <v>0</v>
      </c>
    </row>
    <row r="325" spans="1:17" x14ac:dyDescent="0.25">
      <c r="A325" s="2"/>
      <c r="B325" s="2"/>
      <c r="C325" s="2"/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18"/>
      <c r="P3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5" s="44">
        <f>Tabla1[[#This Row],[Cantidad Realizada]]*Tabla1[[#This Row],[VxU]]</f>
        <v>0</v>
      </c>
    </row>
    <row r="326" spans="1:17" x14ac:dyDescent="0.25">
      <c r="A326" s="2"/>
      <c r="B326" s="2"/>
      <c r="C326" s="2"/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18"/>
      <c r="P3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6" s="44">
        <f>Tabla1[[#This Row],[Cantidad Realizada]]*Tabla1[[#This Row],[VxU]]</f>
        <v>0</v>
      </c>
    </row>
    <row r="327" spans="1:17" x14ac:dyDescent="0.25">
      <c r="A327" s="2"/>
      <c r="B327" s="2"/>
      <c r="C327" s="2"/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18"/>
      <c r="P3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7" s="44">
        <f>Tabla1[[#This Row],[Cantidad Realizada]]*Tabla1[[#This Row],[VxU]]</f>
        <v>0</v>
      </c>
    </row>
    <row r="328" spans="1:17" x14ac:dyDescent="0.25">
      <c r="A328" s="2"/>
      <c r="B328" s="2"/>
      <c r="C328" s="2"/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18"/>
      <c r="P3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8" s="44">
        <f>Tabla1[[#This Row],[Cantidad Realizada]]*Tabla1[[#This Row],[VxU]]</f>
        <v>0</v>
      </c>
    </row>
    <row r="329" spans="1:17" x14ac:dyDescent="0.25">
      <c r="A329" s="2"/>
      <c r="B329" s="2"/>
      <c r="C329" s="2"/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18"/>
      <c r="P3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29" s="44">
        <f>Tabla1[[#This Row],[Cantidad Realizada]]*Tabla1[[#This Row],[VxU]]</f>
        <v>0</v>
      </c>
    </row>
    <row r="330" spans="1:17" x14ac:dyDescent="0.25">
      <c r="A330" s="2"/>
      <c r="B330" s="2"/>
      <c r="C330" s="2"/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18"/>
      <c r="P3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0" s="44">
        <f>Tabla1[[#This Row],[Cantidad Realizada]]*Tabla1[[#This Row],[VxU]]</f>
        <v>0</v>
      </c>
    </row>
    <row r="331" spans="1:17" x14ac:dyDescent="0.25">
      <c r="A331" s="2"/>
      <c r="B331" s="2"/>
      <c r="C331" s="2"/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18"/>
      <c r="P3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1" s="44">
        <f>Tabla1[[#This Row],[Cantidad Realizada]]*Tabla1[[#This Row],[VxU]]</f>
        <v>0</v>
      </c>
    </row>
    <row r="332" spans="1:17" x14ac:dyDescent="0.25">
      <c r="A332" s="2"/>
      <c r="B332" s="2"/>
      <c r="C332" s="2"/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18"/>
      <c r="P3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2" s="44">
        <f>Tabla1[[#This Row],[Cantidad Realizada]]*Tabla1[[#This Row],[VxU]]</f>
        <v>0</v>
      </c>
    </row>
    <row r="333" spans="1:17" x14ac:dyDescent="0.25">
      <c r="A333" s="2"/>
      <c r="B333" s="2"/>
      <c r="C333" s="2"/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18"/>
      <c r="P3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3" s="44">
        <f>Tabla1[[#This Row],[Cantidad Realizada]]*Tabla1[[#This Row],[VxU]]</f>
        <v>0</v>
      </c>
    </row>
    <row r="334" spans="1:17" x14ac:dyDescent="0.25">
      <c r="A334" s="2"/>
      <c r="B334" s="2"/>
      <c r="C334" s="2"/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18"/>
      <c r="P3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4" s="44">
        <f>Tabla1[[#This Row],[Cantidad Realizada]]*Tabla1[[#This Row],[VxU]]</f>
        <v>0</v>
      </c>
    </row>
    <row r="335" spans="1:17" x14ac:dyDescent="0.25">
      <c r="A335" s="2"/>
      <c r="B335" s="2"/>
      <c r="C335" s="2"/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18"/>
      <c r="P3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5" s="44">
        <f>Tabla1[[#This Row],[Cantidad Realizada]]*Tabla1[[#This Row],[VxU]]</f>
        <v>0</v>
      </c>
    </row>
    <row r="336" spans="1:17" x14ac:dyDescent="0.25">
      <c r="A336" s="2"/>
      <c r="B336" s="2"/>
      <c r="C336" s="2"/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18"/>
      <c r="P3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6" s="44">
        <f>Tabla1[[#This Row],[Cantidad Realizada]]*Tabla1[[#This Row],[VxU]]</f>
        <v>0</v>
      </c>
    </row>
    <row r="337" spans="1:17" x14ac:dyDescent="0.25">
      <c r="A337" s="2"/>
      <c r="B337" s="2"/>
      <c r="C337" s="2"/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18"/>
      <c r="P3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7" s="44">
        <f>Tabla1[[#This Row],[Cantidad Realizada]]*Tabla1[[#This Row],[VxU]]</f>
        <v>0</v>
      </c>
    </row>
    <row r="338" spans="1:17" x14ac:dyDescent="0.25">
      <c r="A338" s="2"/>
      <c r="B338" s="2"/>
      <c r="C338" s="2"/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18"/>
      <c r="P3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8" s="44">
        <f>Tabla1[[#This Row],[Cantidad Realizada]]*Tabla1[[#This Row],[VxU]]</f>
        <v>0</v>
      </c>
    </row>
    <row r="339" spans="1:17" x14ac:dyDescent="0.25">
      <c r="A339" s="2"/>
      <c r="B339" s="2"/>
      <c r="C339" s="2"/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18"/>
      <c r="P3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39" s="44">
        <f>Tabla1[[#This Row],[Cantidad Realizada]]*Tabla1[[#This Row],[VxU]]</f>
        <v>0</v>
      </c>
    </row>
    <row r="340" spans="1:17" x14ac:dyDescent="0.25">
      <c r="A340" s="2"/>
      <c r="B340" s="2"/>
      <c r="C340" s="2"/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18"/>
      <c r="P3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0" s="44">
        <f>Tabla1[[#This Row],[Cantidad Realizada]]*Tabla1[[#This Row],[VxU]]</f>
        <v>0</v>
      </c>
    </row>
    <row r="341" spans="1:17" x14ac:dyDescent="0.25">
      <c r="A341" s="2"/>
      <c r="B341" s="2"/>
      <c r="C341" s="2"/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18"/>
      <c r="P3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1" s="44">
        <f>Tabla1[[#This Row],[Cantidad Realizada]]*Tabla1[[#This Row],[VxU]]</f>
        <v>0</v>
      </c>
    </row>
    <row r="342" spans="1:17" x14ac:dyDescent="0.25">
      <c r="A342" s="2"/>
      <c r="B342" s="2"/>
      <c r="C342" s="2"/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18"/>
      <c r="P3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2" s="44">
        <f>Tabla1[[#This Row],[Cantidad Realizada]]*Tabla1[[#This Row],[VxU]]</f>
        <v>0</v>
      </c>
    </row>
    <row r="343" spans="1:17" x14ac:dyDescent="0.25">
      <c r="A343" s="2"/>
      <c r="B343" s="2"/>
      <c r="C343" s="2"/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18"/>
      <c r="P3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3" s="44">
        <f>Tabla1[[#This Row],[Cantidad Realizada]]*Tabla1[[#This Row],[VxU]]</f>
        <v>0</v>
      </c>
    </row>
    <row r="344" spans="1:17" x14ac:dyDescent="0.25">
      <c r="A344" s="2"/>
      <c r="B344" s="2"/>
      <c r="C344" s="2"/>
      <c r="D344" s="5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18"/>
      <c r="P3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4" s="44">
        <f>Tabla1[[#This Row],[Cantidad Realizada]]*Tabla1[[#This Row],[VxU]]</f>
        <v>0</v>
      </c>
    </row>
    <row r="345" spans="1:17" x14ac:dyDescent="0.25">
      <c r="A345" s="2"/>
      <c r="B345" s="2"/>
      <c r="C345" s="2"/>
      <c r="D345" s="5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18"/>
      <c r="P3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5" s="44">
        <f>Tabla1[[#This Row],[Cantidad Realizada]]*Tabla1[[#This Row],[VxU]]</f>
        <v>0</v>
      </c>
    </row>
    <row r="346" spans="1:17" x14ac:dyDescent="0.25">
      <c r="A346" s="2"/>
      <c r="B346" s="2"/>
      <c r="C346" s="2"/>
      <c r="D346" s="5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18"/>
      <c r="P3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6" s="44">
        <f>Tabla1[[#This Row],[Cantidad Realizada]]*Tabla1[[#This Row],[VxU]]</f>
        <v>0</v>
      </c>
    </row>
    <row r="347" spans="1:17" x14ac:dyDescent="0.25">
      <c r="A347" s="2"/>
      <c r="B347" s="2"/>
      <c r="C347" s="2"/>
      <c r="D347" s="5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18"/>
      <c r="P3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7" s="44">
        <f>Tabla1[[#This Row],[Cantidad Realizada]]*Tabla1[[#This Row],[VxU]]</f>
        <v>0</v>
      </c>
    </row>
    <row r="348" spans="1:17" x14ac:dyDescent="0.25">
      <c r="A348" s="2"/>
      <c r="B348" s="2"/>
      <c r="C348" s="2"/>
      <c r="D348" s="5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18"/>
      <c r="P3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8" s="44">
        <f>Tabla1[[#This Row],[Cantidad Realizada]]*Tabla1[[#This Row],[VxU]]</f>
        <v>0</v>
      </c>
    </row>
    <row r="349" spans="1:17" x14ac:dyDescent="0.25">
      <c r="A349" s="2"/>
      <c r="B349" s="2"/>
      <c r="C349" s="2"/>
      <c r="D349" s="5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18"/>
      <c r="P3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49" s="44">
        <f>Tabla1[[#This Row],[Cantidad Realizada]]*Tabla1[[#This Row],[VxU]]</f>
        <v>0</v>
      </c>
    </row>
    <row r="350" spans="1:17" x14ac:dyDescent="0.25">
      <c r="A350" s="2"/>
      <c r="B350" s="2"/>
      <c r="C350" s="2"/>
      <c r="D350" s="5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18"/>
      <c r="P3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0" s="44">
        <f>Tabla1[[#This Row],[Cantidad Realizada]]*Tabla1[[#This Row],[VxU]]</f>
        <v>0</v>
      </c>
    </row>
    <row r="351" spans="1:17" x14ac:dyDescent="0.25">
      <c r="A351" s="38"/>
      <c r="B351" s="38"/>
      <c r="C351" s="38"/>
      <c r="D351" s="39"/>
      <c r="E351" s="39"/>
      <c r="F351" s="38"/>
      <c r="G351" s="38"/>
      <c r="H351" s="38"/>
      <c r="I351" s="38"/>
      <c r="J351" s="38"/>
      <c r="K351" s="38"/>
      <c r="L351" s="38"/>
      <c r="M351" s="38"/>
      <c r="N351" s="38"/>
      <c r="O351" s="40"/>
      <c r="P3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1" s="44">
        <f>Tabla1[[#This Row],[Cantidad Realizada]]*Tabla1[[#This Row],[VxU]]</f>
        <v>0</v>
      </c>
    </row>
    <row r="352" spans="1:17" x14ac:dyDescent="0.25">
      <c r="A352" s="2"/>
      <c r="B352" s="2"/>
      <c r="C352" s="2"/>
      <c r="D352" s="5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18"/>
      <c r="P3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2" s="44">
        <f>Tabla1[[#This Row],[Cantidad Realizada]]*Tabla1[[#This Row],[VxU]]</f>
        <v>0</v>
      </c>
    </row>
    <row r="353" spans="1:17" x14ac:dyDescent="0.25">
      <c r="A353" s="2"/>
      <c r="B353" s="2"/>
      <c r="C353" s="2"/>
      <c r="D353" s="5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18"/>
      <c r="P3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3" s="44">
        <f>Tabla1[[#This Row],[Cantidad Realizada]]*Tabla1[[#This Row],[VxU]]</f>
        <v>0</v>
      </c>
    </row>
    <row r="354" spans="1:17" x14ac:dyDescent="0.25">
      <c r="A354" s="2"/>
      <c r="B354" s="2"/>
      <c r="C354" s="2"/>
      <c r="D354" s="5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18"/>
      <c r="P3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4" s="44">
        <f>Tabla1[[#This Row],[Cantidad Realizada]]*Tabla1[[#This Row],[VxU]]</f>
        <v>0</v>
      </c>
    </row>
    <row r="355" spans="1:17" x14ac:dyDescent="0.25">
      <c r="A355" s="38"/>
      <c r="B355" s="38"/>
      <c r="C355" s="38"/>
      <c r="D355" s="39"/>
      <c r="E355" s="39"/>
      <c r="F355" s="38"/>
      <c r="G355" s="38"/>
      <c r="H355" s="38"/>
      <c r="I355" s="38"/>
      <c r="J355" s="38"/>
      <c r="K355" s="38"/>
      <c r="L355" s="38"/>
      <c r="M355" s="38"/>
      <c r="N355" s="38"/>
      <c r="O355" s="40"/>
      <c r="P3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5" s="44">
        <f>Tabla1[[#This Row],[Cantidad Realizada]]*Tabla1[[#This Row],[VxU]]</f>
        <v>0</v>
      </c>
    </row>
    <row r="356" spans="1:17" x14ac:dyDescent="0.25">
      <c r="A356" s="2"/>
      <c r="B356" s="2"/>
      <c r="C356" s="2"/>
      <c r="D356" s="5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18"/>
      <c r="P3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6" s="44">
        <f>Tabla1[[#This Row],[Cantidad Realizada]]*Tabla1[[#This Row],[VxU]]</f>
        <v>0</v>
      </c>
    </row>
    <row r="357" spans="1:17" x14ac:dyDescent="0.25">
      <c r="A357" s="2"/>
      <c r="B357" s="2"/>
      <c r="C357" s="2"/>
      <c r="D357" s="5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18"/>
      <c r="P3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7" s="44">
        <f>Tabla1[[#This Row],[Cantidad Realizada]]*Tabla1[[#This Row],[VxU]]</f>
        <v>0</v>
      </c>
    </row>
    <row r="358" spans="1:17" x14ac:dyDescent="0.25">
      <c r="A358" s="2"/>
      <c r="B358" s="2"/>
      <c r="C358" s="2"/>
      <c r="D358" s="5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18"/>
      <c r="P3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8" s="44">
        <f>Tabla1[[#This Row],[Cantidad Realizada]]*Tabla1[[#This Row],[VxU]]</f>
        <v>0</v>
      </c>
    </row>
    <row r="359" spans="1:17" x14ac:dyDescent="0.25">
      <c r="A359" s="2"/>
      <c r="B359" s="2"/>
      <c r="C359" s="2"/>
      <c r="D359" s="5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18"/>
      <c r="P3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59" s="44">
        <f>Tabla1[[#This Row],[Cantidad Realizada]]*Tabla1[[#This Row],[VxU]]</f>
        <v>0</v>
      </c>
    </row>
    <row r="360" spans="1:17" x14ac:dyDescent="0.25">
      <c r="A360" s="2"/>
      <c r="B360" s="2"/>
      <c r="C360" s="2"/>
      <c r="D360" s="5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18"/>
      <c r="P3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0" s="44">
        <f>Tabla1[[#This Row],[Cantidad Realizada]]*Tabla1[[#This Row],[VxU]]</f>
        <v>0</v>
      </c>
    </row>
    <row r="361" spans="1:17" x14ac:dyDescent="0.25">
      <c r="A361" s="2"/>
      <c r="B361" s="2"/>
      <c r="C361" s="2"/>
      <c r="D361" s="5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18"/>
      <c r="P3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1" s="44">
        <f>Tabla1[[#This Row],[Cantidad Realizada]]*Tabla1[[#This Row],[VxU]]</f>
        <v>0</v>
      </c>
    </row>
    <row r="362" spans="1:17" x14ac:dyDescent="0.25">
      <c r="A362" s="2"/>
      <c r="B362" s="2"/>
      <c r="C362" s="2"/>
      <c r="D362" s="5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18"/>
      <c r="P3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2" s="44">
        <f>Tabla1[[#This Row],[Cantidad Realizada]]*Tabla1[[#This Row],[VxU]]</f>
        <v>0</v>
      </c>
    </row>
    <row r="363" spans="1:17" x14ac:dyDescent="0.25">
      <c r="A363" s="2"/>
      <c r="B363" s="2"/>
      <c r="C363" s="2"/>
      <c r="D363" s="5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18"/>
      <c r="P3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3" s="44">
        <f>Tabla1[[#This Row],[Cantidad Realizada]]*Tabla1[[#This Row],[VxU]]</f>
        <v>0</v>
      </c>
    </row>
    <row r="364" spans="1:17" x14ac:dyDescent="0.25">
      <c r="A364" s="38"/>
      <c r="B364" s="38"/>
      <c r="C364" s="38"/>
      <c r="D364" s="39"/>
      <c r="E364" s="39"/>
      <c r="F364" s="38"/>
      <c r="G364" s="38"/>
      <c r="H364" s="38"/>
      <c r="I364" s="38"/>
      <c r="J364" s="38"/>
      <c r="K364" s="38"/>
      <c r="L364" s="38"/>
      <c r="M364" s="38"/>
      <c r="N364" s="38"/>
      <c r="O364" s="40"/>
      <c r="P3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4" s="44">
        <f>Tabla1[[#This Row],[Cantidad Realizada]]*Tabla1[[#This Row],[VxU]]</f>
        <v>0</v>
      </c>
    </row>
    <row r="365" spans="1:17" x14ac:dyDescent="0.25">
      <c r="A365" s="2"/>
      <c r="B365" s="2"/>
      <c r="C365" s="2"/>
      <c r="D365" s="5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18"/>
      <c r="P3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5" s="44">
        <f>Tabla1[[#This Row],[Cantidad Realizada]]*Tabla1[[#This Row],[VxU]]</f>
        <v>0</v>
      </c>
    </row>
    <row r="366" spans="1:17" x14ac:dyDescent="0.25">
      <c r="A366" s="2"/>
      <c r="B366" s="2"/>
      <c r="C366" s="2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18"/>
      <c r="P3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6" s="44">
        <f>Tabla1[[#This Row],[Cantidad Realizada]]*Tabla1[[#This Row],[VxU]]</f>
        <v>0</v>
      </c>
    </row>
    <row r="367" spans="1:17" x14ac:dyDescent="0.25">
      <c r="A367" s="2"/>
      <c r="B367" s="2"/>
      <c r="C367" s="2"/>
      <c r="D367" s="5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18"/>
      <c r="P3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7" s="44">
        <f>Tabla1[[#This Row],[Cantidad Realizada]]*Tabla1[[#This Row],[VxU]]</f>
        <v>0</v>
      </c>
    </row>
    <row r="368" spans="1:17" x14ac:dyDescent="0.25">
      <c r="A368" s="2"/>
      <c r="B368" s="2"/>
      <c r="C368" s="2"/>
      <c r="D368" s="5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18"/>
      <c r="P3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8" s="44">
        <f>Tabla1[[#This Row],[Cantidad Realizada]]*Tabla1[[#This Row],[VxU]]</f>
        <v>0</v>
      </c>
    </row>
    <row r="369" spans="1:17" x14ac:dyDescent="0.25">
      <c r="A369" s="2"/>
      <c r="B369" s="2"/>
      <c r="C369" s="2"/>
      <c r="D369" s="5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18"/>
      <c r="P3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69" s="44">
        <f>Tabla1[[#This Row],[Cantidad Realizada]]*Tabla1[[#This Row],[VxU]]</f>
        <v>0</v>
      </c>
    </row>
    <row r="370" spans="1:17" x14ac:dyDescent="0.25">
      <c r="A370" s="2"/>
      <c r="B370" s="2"/>
      <c r="C370" s="2"/>
      <c r="D370" s="5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18"/>
      <c r="P3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0" s="44">
        <f>Tabla1[[#This Row],[Cantidad Realizada]]*Tabla1[[#This Row],[VxU]]</f>
        <v>0</v>
      </c>
    </row>
    <row r="371" spans="1:17" x14ac:dyDescent="0.25">
      <c r="A371" s="2"/>
      <c r="B371" s="2"/>
      <c r="C371" s="2"/>
      <c r="D371" s="5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18"/>
      <c r="P3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1" s="44">
        <f>Tabla1[[#This Row],[Cantidad Realizada]]*Tabla1[[#This Row],[VxU]]</f>
        <v>0</v>
      </c>
    </row>
    <row r="372" spans="1:17" x14ac:dyDescent="0.25">
      <c r="A372" s="2"/>
      <c r="B372" s="2"/>
      <c r="C372" s="2"/>
      <c r="D372" s="5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18"/>
      <c r="P3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2" s="44">
        <f>Tabla1[[#This Row],[Cantidad Realizada]]*Tabla1[[#This Row],[VxU]]</f>
        <v>0</v>
      </c>
    </row>
    <row r="373" spans="1:17" x14ac:dyDescent="0.25">
      <c r="A373" s="2"/>
      <c r="B373" s="2"/>
      <c r="C373" s="2"/>
      <c r="D373" s="5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18"/>
      <c r="P3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3" s="44">
        <f>Tabla1[[#This Row],[Cantidad Realizada]]*Tabla1[[#This Row],[VxU]]</f>
        <v>0</v>
      </c>
    </row>
    <row r="374" spans="1:17" x14ac:dyDescent="0.25">
      <c r="A374" s="2"/>
      <c r="B374" s="2"/>
      <c r="C374" s="2"/>
      <c r="D374" s="5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18"/>
      <c r="P3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4" s="44">
        <f>Tabla1[[#This Row],[Cantidad Realizada]]*Tabla1[[#This Row],[VxU]]</f>
        <v>0</v>
      </c>
    </row>
    <row r="375" spans="1:17" x14ac:dyDescent="0.25">
      <c r="A375" s="2"/>
      <c r="B375" s="2"/>
      <c r="C375" s="2"/>
      <c r="D375" s="5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18"/>
      <c r="P3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5" s="44">
        <f>Tabla1[[#This Row],[Cantidad Realizada]]*Tabla1[[#This Row],[VxU]]</f>
        <v>0</v>
      </c>
    </row>
    <row r="376" spans="1:17" x14ac:dyDescent="0.25">
      <c r="A376" s="2"/>
      <c r="B376" s="2"/>
      <c r="C376" s="2"/>
      <c r="D376" s="5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18"/>
      <c r="P3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6" s="44">
        <f>Tabla1[[#This Row],[Cantidad Realizada]]*Tabla1[[#This Row],[VxU]]</f>
        <v>0</v>
      </c>
    </row>
    <row r="377" spans="1:17" x14ac:dyDescent="0.25">
      <c r="A377" s="2"/>
      <c r="B377" s="2"/>
      <c r="C377" s="2"/>
      <c r="D377" s="5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18"/>
      <c r="P3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7" s="44">
        <f>Tabla1[[#This Row],[Cantidad Realizada]]*Tabla1[[#This Row],[VxU]]</f>
        <v>0</v>
      </c>
    </row>
    <row r="378" spans="1:17" x14ac:dyDescent="0.25">
      <c r="A378" s="2"/>
      <c r="B378" s="2"/>
      <c r="C378" s="2"/>
      <c r="D378" s="5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18"/>
      <c r="P3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8" s="44">
        <f>Tabla1[[#This Row],[Cantidad Realizada]]*Tabla1[[#This Row],[VxU]]</f>
        <v>0</v>
      </c>
    </row>
    <row r="379" spans="1:17" x14ac:dyDescent="0.25">
      <c r="A379" s="2"/>
      <c r="B379" s="2"/>
      <c r="C379" s="2"/>
      <c r="D379" s="5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18"/>
      <c r="P3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79" s="44">
        <f>Tabla1[[#This Row],[Cantidad Realizada]]*Tabla1[[#This Row],[VxU]]</f>
        <v>0</v>
      </c>
    </row>
    <row r="380" spans="1:17" x14ac:dyDescent="0.25">
      <c r="A380" s="2"/>
      <c r="B380" s="2"/>
      <c r="C380" s="2"/>
      <c r="D380" s="5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18"/>
      <c r="P3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0" s="44">
        <f>Tabla1[[#This Row],[Cantidad Realizada]]*Tabla1[[#This Row],[VxU]]</f>
        <v>0</v>
      </c>
    </row>
    <row r="381" spans="1:17" x14ac:dyDescent="0.25">
      <c r="A381" s="2"/>
      <c r="B381" s="2"/>
      <c r="C381" s="2"/>
      <c r="D381" s="5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18"/>
      <c r="P3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1" s="44">
        <f>Tabla1[[#This Row],[Cantidad Realizada]]*Tabla1[[#This Row],[VxU]]</f>
        <v>0</v>
      </c>
    </row>
    <row r="382" spans="1:17" x14ac:dyDescent="0.25">
      <c r="A382" s="2"/>
      <c r="B382" s="2"/>
      <c r="C382" s="2"/>
      <c r="D382" s="5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18"/>
      <c r="P3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2" s="44">
        <f>Tabla1[[#This Row],[Cantidad Realizada]]*Tabla1[[#This Row],[VxU]]</f>
        <v>0</v>
      </c>
    </row>
    <row r="383" spans="1:17" x14ac:dyDescent="0.25">
      <c r="A383" s="2"/>
      <c r="B383" s="2"/>
      <c r="C383" s="2"/>
      <c r="D383" s="5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18"/>
      <c r="P3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3" s="44">
        <f>Tabla1[[#This Row],[Cantidad Realizada]]*Tabla1[[#This Row],[VxU]]</f>
        <v>0</v>
      </c>
    </row>
    <row r="384" spans="1:17" x14ac:dyDescent="0.25">
      <c r="A384" s="2"/>
      <c r="B384" s="2"/>
      <c r="C384" s="2"/>
      <c r="D384" s="5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18"/>
      <c r="P3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4" s="44">
        <f>Tabla1[[#This Row],[Cantidad Realizada]]*Tabla1[[#This Row],[VxU]]</f>
        <v>0</v>
      </c>
    </row>
    <row r="385" spans="1:17" x14ac:dyDescent="0.25">
      <c r="A385" s="2"/>
      <c r="B385" s="2"/>
      <c r="C385" s="2"/>
      <c r="D385" s="5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18"/>
      <c r="P3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5" s="44">
        <f>Tabla1[[#This Row],[Cantidad Realizada]]*Tabla1[[#This Row],[VxU]]</f>
        <v>0</v>
      </c>
    </row>
    <row r="386" spans="1:17" x14ac:dyDescent="0.25">
      <c r="A386" s="2"/>
      <c r="B386" s="2"/>
      <c r="C386" s="2"/>
      <c r="D386" s="5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18"/>
      <c r="P3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6" s="44">
        <f>Tabla1[[#This Row],[Cantidad Realizada]]*Tabla1[[#This Row],[VxU]]</f>
        <v>0</v>
      </c>
    </row>
    <row r="387" spans="1:17" x14ac:dyDescent="0.25">
      <c r="A387" s="2"/>
      <c r="B387" s="2"/>
      <c r="C387" s="2"/>
      <c r="D387" s="5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18"/>
      <c r="P3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7" s="44">
        <f>Tabla1[[#This Row],[Cantidad Realizada]]*Tabla1[[#This Row],[VxU]]</f>
        <v>0</v>
      </c>
    </row>
    <row r="388" spans="1:17" x14ac:dyDescent="0.25">
      <c r="A388" s="2"/>
      <c r="B388" s="2"/>
      <c r="C388" s="2"/>
      <c r="D388" s="5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18"/>
      <c r="P3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8" s="44">
        <f>Tabla1[[#This Row],[Cantidad Realizada]]*Tabla1[[#This Row],[VxU]]</f>
        <v>0</v>
      </c>
    </row>
    <row r="389" spans="1:17" x14ac:dyDescent="0.25">
      <c r="A389" s="2"/>
      <c r="B389" s="2"/>
      <c r="C389" s="2"/>
      <c r="D389" s="5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18"/>
      <c r="P3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89" s="44">
        <f>Tabla1[[#This Row],[Cantidad Realizada]]*Tabla1[[#This Row],[VxU]]</f>
        <v>0</v>
      </c>
    </row>
    <row r="390" spans="1:17" x14ac:dyDescent="0.25">
      <c r="A390" s="2"/>
      <c r="B390" s="2"/>
      <c r="C390" s="2"/>
      <c r="D390" s="5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18"/>
      <c r="P3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0" s="44">
        <f>Tabla1[[#This Row],[Cantidad Realizada]]*Tabla1[[#This Row],[VxU]]</f>
        <v>0</v>
      </c>
    </row>
    <row r="391" spans="1:17" x14ac:dyDescent="0.25">
      <c r="A391" s="2"/>
      <c r="B391" s="2"/>
      <c r="C391" s="2"/>
      <c r="D391" s="5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18"/>
      <c r="P3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1" s="44">
        <f>Tabla1[[#This Row],[Cantidad Realizada]]*Tabla1[[#This Row],[VxU]]</f>
        <v>0</v>
      </c>
    </row>
    <row r="392" spans="1:17" x14ac:dyDescent="0.25">
      <c r="A392" s="2"/>
      <c r="B392" s="2"/>
      <c r="C392" s="2"/>
      <c r="D392" s="5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18"/>
      <c r="P3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2" s="44">
        <f>Tabla1[[#This Row],[Cantidad Realizada]]*Tabla1[[#This Row],[VxU]]</f>
        <v>0</v>
      </c>
    </row>
    <row r="393" spans="1:17" x14ac:dyDescent="0.25">
      <c r="A393" s="2"/>
      <c r="B393" s="2"/>
      <c r="C393" s="2"/>
      <c r="D393" s="5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18"/>
      <c r="P3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3" s="44">
        <f>Tabla1[[#This Row],[Cantidad Realizada]]*Tabla1[[#This Row],[VxU]]</f>
        <v>0</v>
      </c>
    </row>
    <row r="394" spans="1:17" x14ac:dyDescent="0.25">
      <c r="A394" s="2"/>
      <c r="B394" s="2"/>
      <c r="C394" s="2"/>
      <c r="D394" s="5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18"/>
      <c r="P3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4" s="44">
        <f>Tabla1[[#This Row],[Cantidad Realizada]]*Tabla1[[#This Row],[VxU]]</f>
        <v>0</v>
      </c>
    </row>
    <row r="395" spans="1:17" x14ac:dyDescent="0.25">
      <c r="A395" s="2"/>
      <c r="B395" s="2"/>
      <c r="C395" s="2"/>
      <c r="D395" s="5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18"/>
      <c r="P3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5" s="44">
        <f>Tabla1[[#This Row],[Cantidad Realizada]]*Tabla1[[#This Row],[VxU]]</f>
        <v>0</v>
      </c>
    </row>
    <row r="396" spans="1:17" x14ac:dyDescent="0.25">
      <c r="A396" s="2"/>
      <c r="B396" s="2"/>
      <c r="C396" s="2"/>
      <c r="D396" s="5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18"/>
      <c r="P3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6" s="44">
        <f>Tabla1[[#This Row],[Cantidad Realizada]]*Tabla1[[#This Row],[VxU]]</f>
        <v>0</v>
      </c>
    </row>
    <row r="397" spans="1:17" x14ac:dyDescent="0.25">
      <c r="A397" s="2"/>
      <c r="B397" s="2"/>
      <c r="C397" s="2"/>
      <c r="D397" s="5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18"/>
      <c r="P3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7" s="44">
        <f>Tabla1[[#This Row],[Cantidad Realizada]]*Tabla1[[#This Row],[VxU]]</f>
        <v>0</v>
      </c>
    </row>
    <row r="398" spans="1:17" x14ac:dyDescent="0.25">
      <c r="A398" s="2"/>
      <c r="B398" s="2"/>
      <c r="C398" s="2"/>
      <c r="D398" s="5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18"/>
      <c r="P3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8" s="44">
        <f>Tabla1[[#This Row],[Cantidad Realizada]]*Tabla1[[#This Row],[VxU]]</f>
        <v>0</v>
      </c>
    </row>
    <row r="399" spans="1:17" x14ac:dyDescent="0.25">
      <c r="A399" s="2"/>
      <c r="B399" s="2"/>
      <c r="C399" s="2"/>
      <c r="D399" s="5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18"/>
      <c r="P3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399" s="44">
        <f>Tabla1[[#This Row],[Cantidad Realizada]]*Tabla1[[#This Row],[VxU]]</f>
        <v>0</v>
      </c>
    </row>
    <row r="400" spans="1:17" x14ac:dyDescent="0.25">
      <c r="A400" s="2"/>
      <c r="B400" s="2"/>
      <c r="C400" s="2"/>
      <c r="D400" s="5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18"/>
      <c r="P4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0" s="44">
        <f>Tabla1[[#This Row],[Cantidad Realizada]]*Tabla1[[#This Row],[VxU]]</f>
        <v>0</v>
      </c>
    </row>
    <row r="401" spans="1:17" x14ac:dyDescent="0.25">
      <c r="A401" s="2"/>
      <c r="B401" s="2"/>
      <c r="C401" s="2"/>
      <c r="D401" s="5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18"/>
      <c r="P4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1" s="44">
        <f>Tabla1[[#This Row],[Cantidad Realizada]]*Tabla1[[#This Row],[VxU]]</f>
        <v>0</v>
      </c>
    </row>
    <row r="402" spans="1:17" x14ac:dyDescent="0.25">
      <c r="A402" s="2"/>
      <c r="B402" s="2"/>
      <c r="C402" s="2"/>
      <c r="D402" s="5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18"/>
      <c r="P4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2" s="44">
        <f>Tabla1[[#This Row],[Cantidad Realizada]]*Tabla1[[#This Row],[VxU]]</f>
        <v>0</v>
      </c>
    </row>
    <row r="403" spans="1:17" x14ac:dyDescent="0.25">
      <c r="A403" s="2"/>
      <c r="B403" s="2"/>
      <c r="C403" s="2"/>
      <c r="D403" s="5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18"/>
      <c r="P4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3" s="44">
        <f>Tabla1[[#This Row],[Cantidad Realizada]]*Tabla1[[#This Row],[VxU]]</f>
        <v>0</v>
      </c>
    </row>
    <row r="404" spans="1:17" x14ac:dyDescent="0.25">
      <c r="A404" s="2"/>
      <c r="B404" s="2"/>
      <c r="C404" s="2"/>
      <c r="D404" s="5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18"/>
      <c r="P4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4" s="44">
        <f>Tabla1[[#This Row],[Cantidad Realizada]]*Tabla1[[#This Row],[VxU]]</f>
        <v>0</v>
      </c>
    </row>
    <row r="405" spans="1:17" x14ac:dyDescent="0.25">
      <c r="A405" s="2"/>
      <c r="B405" s="2"/>
      <c r="C405" s="2"/>
      <c r="D405" s="5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18"/>
      <c r="P4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5" s="44">
        <f>Tabla1[[#This Row],[Cantidad Realizada]]*Tabla1[[#This Row],[VxU]]</f>
        <v>0</v>
      </c>
    </row>
    <row r="406" spans="1:17" x14ac:dyDescent="0.25">
      <c r="A406" s="2"/>
      <c r="B406" s="2"/>
      <c r="C406" s="2"/>
      <c r="D406" s="5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18"/>
      <c r="P4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6" s="44">
        <f>Tabla1[[#This Row],[Cantidad Realizada]]*Tabla1[[#This Row],[VxU]]</f>
        <v>0</v>
      </c>
    </row>
    <row r="407" spans="1:17" x14ac:dyDescent="0.25">
      <c r="A407" s="2"/>
      <c r="B407" s="2"/>
      <c r="C407" s="2"/>
      <c r="D407" s="5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18"/>
      <c r="P4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7" s="44">
        <f>Tabla1[[#This Row],[Cantidad Realizada]]*Tabla1[[#This Row],[VxU]]</f>
        <v>0</v>
      </c>
    </row>
    <row r="408" spans="1:17" x14ac:dyDescent="0.25">
      <c r="A408" s="2"/>
      <c r="B408" s="2"/>
      <c r="C408" s="2"/>
      <c r="D408" s="5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18"/>
      <c r="P4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8" s="44">
        <f>Tabla1[[#This Row],[Cantidad Realizada]]*Tabla1[[#This Row],[VxU]]</f>
        <v>0</v>
      </c>
    </row>
    <row r="409" spans="1:17" x14ac:dyDescent="0.25">
      <c r="A409" s="2"/>
      <c r="B409" s="2"/>
      <c r="C409" s="2"/>
      <c r="D409" s="5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18"/>
      <c r="P4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09" s="44">
        <f>Tabla1[[#This Row],[Cantidad Realizada]]*Tabla1[[#This Row],[VxU]]</f>
        <v>0</v>
      </c>
    </row>
    <row r="410" spans="1:17" x14ac:dyDescent="0.25">
      <c r="A410" s="2"/>
      <c r="B410" s="2"/>
      <c r="C410" s="2"/>
      <c r="D410" s="5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18"/>
      <c r="P4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0" s="44">
        <f>Tabla1[[#This Row],[Cantidad Realizada]]*Tabla1[[#This Row],[VxU]]</f>
        <v>0</v>
      </c>
    </row>
    <row r="411" spans="1:17" x14ac:dyDescent="0.25">
      <c r="A411" s="2"/>
      <c r="B411" s="2"/>
      <c r="C411" s="2"/>
      <c r="D411" s="5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18"/>
      <c r="P4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1" s="44">
        <f>Tabla1[[#This Row],[Cantidad Realizada]]*Tabla1[[#This Row],[VxU]]</f>
        <v>0</v>
      </c>
    </row>
    <row r="412" spans="1:17" x14ac:dyDescent="0.25">
      <c r="A412" s="2"/>
      <c r="B412" s="2"/>
      <c r="C412" s="2"/>
      <c r="D412" s="5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18"/>
      <c r="P4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2" s="44">
        <f>Tabla1[[#This Row],[Cantidad Realizada]]*Tabla1[[#This Row],[VxU]]</f>
        <v>0</v>
      </c>
    </row>
    <row r="413" spans="1:17" x14ac:dyDescent="0.25">
      <c r="A413" s="2"/>
      <c r="B413" s="2"/>
      <c r="C413" s="2"/>
      <c r="D413" s="5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18"/>
      <c r="P4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3" s="44">
        <f>Tabla1[[#This Row],[Cantidad Realizada]]*Tabla1[[#This Row],[VxU]]</f>
        <v>0</v>
      </c>
    </row>
    <row r="414" spans="1:17" x14ac:dyDescent="0.25">
      <c r="A414" s="2"/>
      <c r="B414" s="2"/>
      <c r="C414" s="2"/>
      <c r="D414" s="5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18"/>
      <c r="P4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4" s="44">
        <f>Tabla1[[#This Row],[Cantidad Realizada]]*Tabla1[[#This Row],[VxU]]</f>
        <v>0</v>
      </c>
    </row>
    <row r="415" spans="1:17" x14ac:dyDescent="0.25">
      <c r="A415" s="2"/>
      <c r="B415" s="2"/>
      <c r="C415" s="2"/>
      <c r="D415" s="5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18"/>
      <c r="P4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5" s="44">
        <f>Tabla1[[#This Row],[Cantidad Realizada]]*Tabla1[[#This Row],[VxU]]</f>
        <v>0</v>
      </c>
    </row>
    <row r="416" spans="1:17" x14ac:dyDescent="0.25">
      <c r="A416" s="2"/>
      <c r="B416" s="2"/>
      <c r="C416" s="2"/>
      <c r="D416" s="5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18"/>
      <c r="P4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6" s="44">
        <f>Tabla1[[#This Row],[Cantidad Realizada]]*Tabla1[[#This Row],[VxU]]</f>
        <v>0</v>
      </c>
    </row>
    <row r="417" spans="1:17" x14ac:dyDescent="0.25">
      <c r="A417" s="2"/>
      <c r="B417" s="2"/>
      <c r="C417" s="2"/>
      <c r="D417" s="5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18"/>
      <c r="P4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7" s="44">
        <f>Tabla1[[#This Row],[Cantidad Realizada]]*Tabla1[[#This Row],[VxU]]</f>
        <v>0</v>
      </c>
    </row>
    <row r="418" spans="1:17" x14ac:dyDescent="0.25">
      <c r="A418" s="2"/>
      <c r="B418" s="2"/>
      <c r="C418" s="2"/>
      <c r="D418" s="5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18"/>
      <c r="P4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8" s="44">
        <f>Tabla1[[#This Row],[Cantidad Realizada]]*Tabla1[[#This Row],[VxU]]</f>
        <v>0</v>
      </c>
    </row>
    <row r="419" spans="1:17" x14ac:dyDescent="0.25">
      <c r="A419" s="2"/>
      <c r="B419" s="2"/>
      <c r="C419" s="2"/>
      <c r="D419" s="5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18"/>
      <c r="P4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19" s="44">
        <f>Tabla1[[#This Row],[Cantidad Realizada]]*Tabla1[[#This Row],[VxU]]</f>
        <v>0</v>
      </c>
    </row>
    <row r="420" spans="1:17" x14ac:dyDescent="0.25">
      <c r="A420" s="2"/>
      <c r="B420" s="2"/>
      <c r="C420" s="2"/>
      <c r="D420" s="5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18"/>
      <c r="P4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0" s="44">
        <f>Tabla1[[#This Row],[Cantidad Realizada]]*Tabla1[[#This Row],[VxU]]</f>
        <v>0</v>
      </c>
    </row>
    <row r="421" spans="1:17" x14ac:dyDescent="0.25">
      <c r="A421" s="2"/>
      <c r="B421" s="2"/>
      <c r="C421" s="2"/>
      <c r="D421" s="5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18"/>
      <c r="P4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1" s="44">
        <f>Tabla1[[#This Row],[Cantidad Realizada]]*Tabla1[[#This Row],[VxU]]</f>
        <v>0</v>
      </c>
    </row>
    <row r="422" spans="1:17" x14ac:dyDescent="0.25">
      <c r="A422" s="2"/>
      <c r="B422" s="2"/>
      <c r="C422" s="2"/>
      <c r="D422" s="5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18"/>
      <c r="P4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2" s="44">
        <f>Tabla1[[#This Row],[Cantidad Realizada]]*Tabla1[[#This Row],[VxU]]</f>
        <v>0</v>
      </c>
    </row>
    <row r="423" spans="1:17" x14ac:dyDescent="0.25">
      <c r="A423" s="38"/>
      <c r="B423" s="38"/>
      <c r="C423" s="38"/>
      <c r="D423" s="39"/>
      <c r="E423" s="39"/>
      <c r="F423" s="38"/>
      <c r="G423" s="38"/>
      <c r="H423" s="38"/>
      <c r="I423" s="38"/>
      <c r="J423" s="38"/>
      <c r="K423" s="38"/>
      <c r="L423" s="38"/>
      <c r="M423" s="38"/>
      <c r="N423" s="38"/>
      <c r="O423" s="40"/>
      <c r="P4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3" s="44">
        <f>Tabla1[[#This Row],[Cantidad Realizada]]*Tabla1[[#This Row],[VxU]]</f>
        <v>0</v>
      </c>
    </row>
    <row r="424" spans="1:17" x14ac:dyDescent="0.25">
      <c r="A424" s="41"/>
      <c r="B424" s="41"/>
      <c r="C424" s="41"/>
      <c r="D424" s="42"/>
      <c r="E424" s="42"/>
      <c r="F424" s="41"/>
      <c r="G424" s="41"/>
      <c r="H424" s="41"/>
      <c r="I424" s="41"/>
      <c r="J424" s="41"/>
      <c r="K424" s="41"/>
      <c r="L424" s="41"/>
      <c r="M424" s="41"/>
      <c r="N424" s="41"/>
      <c r="O424" s="43"/>
      <c r="P4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4" s="44">
        <f>Tabla1[[#This Row],[Cantidad Realizada]]*Tabla1[[#This Row],[VxU]]</f>
        <v>0</v>
      </c>
    </row>
    <row r="425" spans="1:17" x14ac:dyDescent="0.25">
      <c r="A425" s="2"/>
      <c r="B425" s="2"/>
      <c r="C425" s="2"/>
      <c r="D425" s="5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18"/>
      <c r="P4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5" s="44">
        <f>Tabla1[[#This Row],[Cantidad Realizada]]*Tabla1[[#This Row],[VxU]]</f>
        <v>0</v>
      </c>
    </row>
    <row r="426" spans="1:17" x14ac:dyDescent="0.25">
      <c r="A426" s="2"/>
      <c r="B426" s="2"/>
      <c r="C426" s="2"/>
      <c r="D426" s="5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18"/>
      <c r="P4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6" s="44">
        <f>Tabla1[[#This Row],[Cantidad Realizada]]*Tabla1[[#This Row],[VxU]]</f>
        <v>0</v>
      </c>
    </row>
    <row r="427" spans="1:17" x14ac:dyDescent="0.25">
      <c r="A427" s="2"/>
      <c r="B427" s="2"/>
      <c r="C427" s="2"/>
      <c r="D427" s="5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18"/>
      <c r="P4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7" s="44">
        <f>Tabla1[[#This Row],[Cantidad Realizada]]*Tabla1[[#This Row],[VxU]]</f>
        <v>0</v>
      </c>
    </row>
    <row r="428" spans="1:17" x14ac:dyDescent="0.25">
      <c r="A428" s="2"/>
      <c r="B428" s="2"/>
      <c r="C428" s="2"/>
      <c r="D428" s="5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18"/>
      <c r="P4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8" s="44">
        <f>Tabla1[[#This Row],[Cantidad Realizada]]*Tabla1[[#This Row],[VxU]]</f>
        <v>0</v>
      </c>
    </row>
    <row r="429" spans="1:17" x14ac:dyDescent="0.25">
      <c r="A429" s="2"/>
      <c r="B429" s="2"/>
      <c r="C429" s="2"/>
      <c r="D429" s="5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18"/>
      <c r="P4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29" s="44">
        <f>Tabla1[[#This Row],[Cantidad Realizada]]*Tabla1[[#This Row],[VxU]]</f>
        <v>0</v>
      </c>
    </row>
    <row r="430" spans="1:17" x14ac:dyDescent="0.25">
      <c r="A430" s="2"/>
      <c r="B430" s="2"/>
      <c r="C430" s="2"/>
      <c r="D430" s="5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18"/>
      <c r="P4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0" s="44">
        <f>Tabla1[[#This Row],[Cantidad Realizada]]*Tabla1[[#This Row],[VxU]]</f>
        <v>0</v>
      </c>
    </row>
    <row r="431" spans="1:17" x14ac:dyDescent="0.25">
      <c r="A431" s="38"/>
      <c r="B431" s="38"/>
      <c r="C431" s="38"/>
      <c r="D431" s="39"/>
      <c r="E431" s="39"/>
      <c r="F431" s="38"/>
      <c r="G431" s="38"/>
      <c r="H431" s="38"/>
      <c r="I431" s="38"/>
      <c r="J431" s="38"/>
      <c r="K431" s="38"/>
      <c r="L431" s="38"/>
      <c r="M431" s="38"/>
      <c r="N431" s="38"/>
      <c r="O431" s="40"/>
      <c r="P4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1" s="44">
        <f>Tabla1[[#This Row],[Cantidad Realizada]]*Tabla1[[#This Row],[VxU]]</f>
        <v>0</v>
      </c>
    </row>
    <row r="432" spans="1:17" x14ac:dyDescent="0.25">
      <c r="A432" s="2"/>
      <c r="B432" s="2"/>
      <c r="C432" s="2"/>
      <c r="D432" s="5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18"/>
      <c r="P4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2" s="44">
        <f>Tabla1[[#This Row],[Cantidad Realizada]]*Tabla1[[#This Row],[VxU]]</f>
        <v>0</v>
      </c>
    </row>
    <row r="433" spans="1:17" x14ac:dyDescent="0.25">
      <c r="A433" s="2"/>
      <c r="B433" s="2"/>
      <c r="C433" s="2"/>
      <c r="D433" s="5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18"/>
      <c r="P4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3" s="44">
        <f>Tabla1[[#This Row],[Cantidad Realizada]]*Tabla1[[#This Row],[VxU]]</f>
        <v>0</v>
      </c>
    </row>
    <row r="434" spans="1:17" x14ac:dyDescent="0.25">
      <c r="A434" s="38"/>
      <c r="B434" s="38"/>
      <c r="C434" s="38"/>
      <c r="D434" s="39"/>
      <c r="E434" s="39"/>
      <c r="F434" s="38"/>
      <c r="G434" s="38"/>
      <c r="H434" s="38"/>
      <c r="I434" s="38"/>
      <c r="J434" s="38"/>
      <c r="K434" s="38"/>
      <c r="L434" s="38"/>
      <c r="M434" s="38"/>
      <c r="N434" s="38"/>
      <c r="O434" s="40"/>
      <c r="P4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4" s="44">
        <f>Tabla1[[#This Row],[Cantidad Realizada]]*Tabla1[[#This Row],[VxU]]</f>
        <v>0</v>
      </c>
    </row>
    <row r="435" spans="1:17" x14ac:dyDescent="0.25">
      <c r="A435" s="2"/>
      <c r="B435" s="2"/>
      <c r="C435" s="2"/>
      <c r="D435" s="5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18"/>
      <c r="P4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5" s="44">
        <f>Tabla1[[#This Row],[Cantidad Realizada]]*Tabla1[[#This Row],[VxU]]</f>
        <v>0</v>
      </c>
    </row>
    <row r="436" spans="1:17" x14ac:dyDescent="0.25">
      <c r="A436" s="2"/>
      <c r="B436" s="2"/>
      <c r="C436" s="2"/>
      <c r="D436" s="5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18"/>
      <c r="P4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6" s="44">
        <f>Tabla1[[#This Row],[Cantidad Realizada]]*Tabla1[[#This Row],[VxU]]</f>
        <v>0</v>
      </c>
    </row>
    <row r="437" spans="1:17" x14ac:dyDescent="0.25">
      <c r="A437" s="2"/>
      <c r="B437" s="2"/>
      <c r="C437" s="2"/>
      <c r="D437" s="5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18"/>
      <c r="P4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7" s="44">
        <f>Tabla1[[#This Row],[Cantidad Realizada]]*Tabla1[[#This Row],[VxU]]</f>
        <v>0</v>
      </c>
    </row>
    <row r="438" spans="1:17" x14ac:dyDescent="0.25">
      <c r="A438" s="2"/>
      <c r="B438" s="2"/>
      <c r="C438" s="2"/>
      <c r="D438" s="5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18"/>
      <c r="P4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8" s="44">
        <f>Tabla1[[#This Row],[Cantidad Realizada]]*Tabla1[[#This Row],[VxU]]</f>
        <v>0</v>
      </c>
    </row>
    <row r="439" spans="1:17" x14ac:dyDescent="0.25">
      <c r="A439" s="2"/>
      <c r="B439" s="2"/>
      <c r="C439" s="2"/>
      <c r="D439" s="5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18"/>
      <c r="P4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39" s="44">
        <f>Tabla1[[#This Row],[Cantidad Realizada]]*Tabla1[[#This Row],[VxU]]</f>
        <v>0</v>
      </c>
    </row>
    <row r="440" spans="1:17" x14ac:dyDescent="0.25">
      <c r="A440" s="38"/>
      <c r="B440" s="38"/>
      <c r="C440" s="38"/>
      <c r="D440" s="39"/>
      <c r="E440" s="39"/>
      <c r="F440" s="38"/>
      <c r="G440" s="38"/>
      <c r="H440" s="38"/>
      <c r="I440" s="38"/>
      <c r="J440" s="38"/>
      <c r="K440" s="38"/>
      <c r="L440" s="38"/>
      <c r="M440" s="38"/>
      <c r="N440" s="38"/>
      <c r="O440" s="40"/>
      <c r="P4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0" s="44">
        <f>Tabla1[[#This Row],[Cantidad Realizada]]*Tabla1[[#This Row],[VxU]]</f>
        <v>0</v>
      </c>
    </row>
    <row r="441" spans="1:17" x14ac:dyDescent="0.25">
      <c r="A441" s="2"/>
      <c r="B441" s="2"/>
      <c r="C441" s="2"/>
      <c r="D441" s="5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18"/>
      <c r="P4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1" s="44">
        <f>Tabla1[[#This Row],[Cantidad Realizada]]*Tabla1[[#This Row],[VxU]]</f>
        <v>0</v>
      </c>
    </row>
    <row r="442" spans="1:17" x14ac:dyDescent="0.25">
      <c r="A442" s="2"/>
      <c r="B442" s="2"/>
      <c r="C442" s="2"/>
      <c r="D442" s="5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18"/>
      <c r="P4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2" s="44">
        <f>Tabla1[[#This Row],[Cantidad Realizada]]*Tabla1[[#This Row],[VxU]]</f>
        <v>0</v>
      </c>
    </row>
    <row r="443" spans="1:17" x14ac:dyDescent="0.25">
      <c r="A443" s="2"/>
      <c r="B443" s="2"/>
      <c r="C443" s="2"/>
      <c r="D443" s="5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18"/>
      <c r="P4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3" s="44">
        <f>Tabla1[[#This Row],[Cantidad Realizada]]*Tabla1[[#This Row],[VxU]]</f>
        <v>0</v>
      </c>
    </row>
    <row r="444" spans="1:17" x14ac:dyDescent="0.25">
      <c r="A444" s="2"/>
      <c r="B444" s="2"/>
      <c r="C444" s="2"/>
      <c r="D444" s="5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18"/>
      <c r="P4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4" s="44">
        <f>Tabla1[[#This Row],[Cantidad Realizada]]*Tabla1[[#This Row],[VxU]]</f>
        <v>0</v>
      </c>
    </row>
    <row r="445" spans="1:17" x14ac:dyDescent="0.25">
      <c r="A445" s="2"/>
      <c r="B445" s="2"/>
      <c r="C445" s="2"/>
      <c r="D445" s="5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18"/>
      <c r="P4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5" s="44">
        <f>Tabla1[[#This Row],[Cantidad Realizada]]*Tabla1[[#This Row],[VxU]]</f>
        <v>0</v>
      </c>
    </row>
    <row r="446" spans="1:17" x14ac:dyDescent="0.25">
      <c r="A446" s="2"/>
      <c r="B446" s="2"/>
      <c r="C446" s="2"/>
      <c r="D446" s="5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18"/>
      <c r="P4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6" s="44">
        <f>Tabla1[[#This Row],[Cantidad Realizada]]*Tabla1[[#This Row],[VxU]]</f>
        <v>0</v>
      </c>
    </row>
    <row r="447" spans="1:17" x14ac:dyDescent="0.25">
      <c r="A447" s="2"/>
      <c r="B447" s="2"/>
      <c r="C447" s="2"/>
      <c r="D447" s="5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18"/>
      <c r="P4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7" s="44">
        <f>Tabla1[[#This Row],[Cantidad Realizada]]*Tabla1[[#This Row],[VxU]]</f>
        <v>0</v>
      </c>
    </row>
    <row r="448" spans="1:17" x14ac:dyDescent="0.25">
      <c r="A448" s="2"/>
      <c r="B448" s="2"/>
      <c r="C448" s="2"/>
      <c r="D448" s="5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18"/>
      <c r="P4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8" s="44">
        <f>Tabla1[[#This Row],[Cantidad Realizada]]*Tabla1[[#This Row],[VxU]]</f>
        <v>0</v>
      </c>
    </row>
    <row r="449" spans="1:17" x14ac:dyDescent="0.25">
      <c r="A449" s="2"/>
      <c r="B449" s="2"/>
      <c r="C449" s="2"/>
      <c r="D449" s="5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18"/>
      <c r="P4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49" s="44">
        <f>Tabla1[[#This Row],[Cantidad Realizada]]*Tabla1[[#This Row],[VxU]]</f>
        <v>0</v>
      </c>
    </row>
    <row r="450" spans="1:17" x14ac:dyDescent="0.25">
      <c r="A450" s="2"/>
      <c r="B450" s="2"/>
      <c r="C450" s="2"/>
      <c r="D450" s="5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18"/>
      <c r="P4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0" s="44">
        <f>Tabla1[[#This Row],[Cantidad Realizada]]*Tabla1[[#This Row],[VxU]]</f>
        <v>0</v>
      </c>
    </row>
    <row r="451" spans="1:17" x14ac:dyDescent="0.25">
      <c r="A451" s="2"/>
      <c r="B451" s="2"/>
      <c r="C451" s="2"/>
      <c r="D451" s="5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18"/>
      <c r="P4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1" s="44">
        <f>Tabla1[[#This Row],[Cantidad Realizada]]*Tabla1[[#This Row],[VxU]]</f>
        <v>0</v>
      </c>
    </row>
    <row r="452" spans="1:17" x14ac:dyDescent="0.25">
      <c r="A452" s="2"/>
      <c r="B452" s="2"/>
      <c r="C452" s="2"/>
      <c r="D452" s="5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18"/>
      <c r="P4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2" s="44">
        <f>Tabla1[[#This Row],[Cantidad Realizada]]*Tabla1[[#This Row],[VxU]]</f>
        <v>0</v>
      </c>
    </row>
    <row r="453" spans="1:17" x14ac:dyDescent="0.25">
      <c r="A453" s="2"/>
      <c r="B453" s="2"/>
      <c r="C453" s="2"/>
      <c r="D453" s="5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18"/>
      <c r="P4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3" s="44">
        <f>Tabla1[[#This Row],[Cantidad Realizada]]*Tabla1[[#This Row],[VxU]]</f>
        <v>0</v>
      </c>
    </row>
    <row r="454" spans="1:17" x14ac:dyDescent="0.25">
      <c r="A454" s="38"/>
      <c r="B454" s="38"/>
      <c r="C454" s="38"/>
      <c r="D454" s="39"/>
      <c r="E454" s="39"/>
      <c r="F454" s="38"/>
      <c r="G454" s="38"/>
      <c r="H454" s="38"/>
      <c r="I454" s="38"/>
      <c r="J454" s="38"/>
      <c r="K454" s="38"/>
      <c r="L454" s="38"/>
      <c r="M454" s="38"/>
      <c r="N454" s="38"/>
      <c r="O454" s="40"/>
      <c r="P4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4" s="44">
        <f>Tabla1[[#This Row],[Cantidad Realizada]]*Tabla1[[#This Row],[VxU]]</f>
        <v>0</v>
      </c>
    </row>
    <row r="455" spans="1:17" x14ac:dyDescent="0.25">
      <c r="A455" s="2"/>
      <c r="B455" s="2"/>
      <c r="C455" s="2"/>
      <c r="D455" s="5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18"/>
      <c r="P4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5" s="44">
        <f>Tabla1[[#This Row],[Cantidad Realizada]]*Tabla1[[#This Row],[VxU]]</f>
        <v>0</v>
      </c>
    </row>
    <row r="456" spans="1:17" x14ac:dyDescent="0.25">
      <c r="A456" s="2"/>
      <c r="B456" s="2"/>
      <c r="C456" s="2"/>
      <c r="D456" s="5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18"/>
      <c r="P4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6" s="44">
        <f>Tabla1[[#This Row],[Cantidad Realizada]]*Tabla1[[#This Row],[VxU]]</f>
        <v>0</v>
      </c>
    </row>
    <row r="457" spans="1:17" x14ac:dyDescent="0.25">
      <c r="A457" s="2"/>
      <c r="B457" s="2"/>
      <c r="C457" s="2"/>
      <c r="D457" s="5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18"/>
      <c r="P4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7" s="44">
        <f>Tabla1[[#This Row],[Cantidad Realizada]]*Tabla1[[#This Row],[VxU]]</f>
        <v>0</v>
      </c>
    </row>
    <row r="458" spans="1:17" x14ac:dyDescent="0.25">
      <c r="A458" s="2"/>
      <c r="B458" s="2"/>
      <c r="C458" s="2"/>
      <c r="D458" s="5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18"/>
      <c r="P4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8" s="44">
        <f>Tabla1[[#This Row],[Cantidad Realizada]]*Tabla1[[#This Row],[VxU]]</f>
        <v>0</v>
      </c>
    </row>
    <row r="459" spans="1:17" x14ac:dyDescent="0.25">
      <c r="A459" s="2"/>
      <c r="B459" s="2"/>
      <c r="C459" s="2"/>
      <c r="D459" s="5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18"/>
      <c r="P4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59" s="44">
        <f>Tabla1[[#This Row],[Cantidad Realizada]]*Tabla1[[#This Row],[VxU]]</f>
        <v>0</v>
      </c>
    </row>
    <row r="460" spans="1:17" x14ac:dyDescent="0.25">
      <c r="A460" s="2"/>
      <c r="B460" s="2"/>
      <c r="C460" s="2"/>
      <c r="D460" s="5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18"/>
      <c r="P4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0" s="44">
        <f>Tabla1[[#This Row],[Cantidad Realizada]]*Tabla1[[#This Row],[VxU]]</f>
        <v>0</v>
      </c>
    </row>
    <row r="461" spans="1:17" x14ac:dyDescent="0.25">
      <c r="A461" s="2"/>
      <c r="B461" s="2"/>
      <c r="C461" s="2"/>
      <c r="D461" s="5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18"/>
      <c r="P4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1" s="44">
        <f>Tabla1[[#This Row],[Cantidad Realizada]]*Tabla1[[#This Row],[VxU]]</f>
        <v>0</v>
      </c>
    </row>
    <row r="462" spans="1:17" x14ac:dyDescent="0.25">
      <c r="A462" s="2"/>
      <c r="B462" s="2"/>
      <c r="C462" s="2"/>
      <c r="D462" s="5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18"/>
      <c r="P4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2" s="44">
        <f>Tabla1[[#This Row],[Cantidad Realizada]]*Tabla1[[#This Row],[VxU]]</f>
        <v>0</v>
      </c>
    </row>
    <row r="463" spans="1:17" x14ac:dyDescent="0.25">
      <c r="A463" s="2"/>
      <c r="B463" s="2"/>
      <c r="C463" s="2"/>
      <c r="D463" s="5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18"/>
      <c r="P4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3" s="44">
        <f>Tabla1[[#This Row],[Cantidad Realizada]]*Tabla1[[#This Row],[VxU]]</f>
        <v>0</v>
      </c>
    </row>
    <row r="464" spans="1:17" x14ac:dyDescent="0.25">
      <c r="A464" s="2"/>
      <c r="B464" s="2"/>
      <c r="C464" s="2"/>
      <c r="D464" s="5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18"/>
      <c r="P4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4" s="44">
        <f>Tabla1[[#This Row],[Cantidad Realizada]]*Tabla1[[#This Row],[VxU]]</f>
        <v>0</v>
      </c>
    </row>
    <row r="465" spans="1:17" x14ac:dyDescent="0.25">
      <c r="A465" s="2"/>
      <c r="B465" s="2"/>
      <c r="C465" s="2"/>
      <c r="D465" s="5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18"/>
      <c r="P4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5" s="44">
        <f>Tabla1[[#This Row],[Cantidad Realizada]]*Tabla1[[#This Row],[VxU]]</f>
        <v>0</v>
      </c>
    </row>
    <row r="466" spans="1:17" x14ac:dyDescent="0.25">
      <c r="A466" s="2"/>
      <c r="B466" s="2"/>
      <c r="C466" s="2"/>
      <c r="D466" s="5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18"/>
      <c r="P4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6" s="44">
        <f>Tabla1[[#This Row],[Cantidad Realizada]]*Tabla1[[#This Row],[VxU]]</f>
        <v>0</v>
      </c>
    </row>
    <row r="467" spans="1:17" x14ac:dyDescent="0.25">
      <c r="A467" s="2"/>
      <c r="B467" s="2"/>
      <c r="C467" s="2"/>
      <c r="D467" s="5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18"/>
      <c r="P4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7" s="44">
        <f>Tabla1[[#This Row],[Cantidad Realizada]]*Tabla1[[#This Row],[VxU]]</f>
        <v>0</v>
      </c>
    </row>
    <row r="468" spans="1:17" x14ac:dyDescent="0.25">
      <c r="A468" s="2"/>
      <c r="B468" s="2"/>
      <c r="C468" s="2"/>
      <c r="D468" s="5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18"/>
      <c r="P4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8" s="44">
        <f>Tabla1[[#This Row],[Cantidad Realizada]]*Tabla1[[#This Row],[VxU]]</f>
        <v>0</v>
      </c>
    </row>
    <row r="469" spans="1:17" x14ac:dyDescent="0.25">
      <c r="A469" s="2"/>
      <c r="B469" s="2"/>
      <c r="C469" s="2"/>
      <c r="D469" s="5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18"/>
      <c r="P4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69" s="44">
        <f>Tabla1[[#This Row],[Cantidad Realizada]]*Tabla1[[#This Row],[VxU]]</f>
        <v>0</v>
      </c>
    </row>
    <row r="470" spans="1:17" x14ac:dyDescent="0.25">
      <c r="A470" s="2"/>
      <c r="B470" s="2"/>
      <c r="C470" s="2"/>
      <c r="D470" s="5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18"/>
      <c r="P4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0" s="44">
        <f>Tabla1[[#This Row],[Cantidad Realizada]]*Tabla1[[#This Row],[VxU]]</f>
        <v>0</v>
      </c>
    </row>
    <row r="471" spans="1:17" x14ac:dyDescent="0.25">
      <c r="A471" s="2"/>
      <c r="B471" s="2"/>
      <c r="C471" s="2"/>
      <c r="D471" s="5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18"/>
      <c r="P4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1" s="44">
        <f>Tabla1[[#This Row],[Cantidad Realizada]]*Tabla1[[#This Row],[VxU]]</f>
        <v>0</v>
      </c>
    </row>
    <row r="472" spans="1:17" x14ac:dyDescent="0.25">
      <c r="A472" s="2"/>
      <c r="B472" s="2"/>
      <c r="C472" s="2"/>
      <c r="D472" s="5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18"/>
      <c r="P4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2" s="44">
        <f>Tabla1[[#This Row],[Cantidad Realizada]]*Tabla1[[#This Row],[VxU]]</f>
        <v>0</v>
      </c>
    </row>
    <row r="473" spans="1:17" x14ac:dyDescent="0.25">
      <c r="A473" s="2"/>
      <c r="B473" s="2"/>
      <c r="C473" s="2"/>
      <c r="D473" s="5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18"/>
      <c r="P4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3" s="44">
        <f>Tabla1[[#This Row],[Cantidad Realizada]]*Tabla1[[#This Row],[VxU]]</f>
        <v>0</v>
      </c>
    </row>
    <row r="474" spans="1:17" x14ac:dyDescent="0.25">
      <c r="A474" s="2"/>
      <c r="B474" s="2"/>
      <c r="C474" s="2"/>
      <c r="D474" s="5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18"/>
      <c r="P4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4" s="44">
        <f>Tabla1[[#This Row],[Cantidad Realizada]]*Tabla1[[#This Row],[VxU]]</f>
        <v>0</v>
      </c>
    </row>
    <row r="475" spans="1:17" x14ac:dyDescent="0.25">
      <c r="A475" s="2"/>
      <c r="B475" s="2"/>
      <c r="C475" s="2"/>
      <c r="D475" s="5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18"/>
      <c r="P4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5" s="44">
        <f>Tabla1[[#This Row],[Cantidad Realizada]]*Tabla1[[#This Row],[VxU]]</f>
        <v>0</v>
      </c>
    </row>
    <row r="476" spans="1:17" x14ac:dyDescent="0.25">
      <c r="A476" s="2"/>
      <c r="B476" s="2"/>
      <c r="C476" s="2"/>
      <c r="D476" s="5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18"/>
      <c r="P4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6" s="44">
        <f>Tabla1[[#This Row],[Cantidad Realizada]]*Tabla1[[#This Row],[VxU]]</f>
        <v>0</v>
      </c>
    </row>
    <row r="477" spans="1:17" x14ac:dyDescent="0.25">
      <c r="A477" s="2"/>
      <c r="B477" s="2"/>
      <c r="C477" s="2"/>
      <c r="D477" s="5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18"/>
      <c r="P4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7" s="44">
        <f>Tabla1[[#This Row],[Cantidad Realizada]]*Tabla1[[#This Row],[VxU]]</f>
        <v>0</v>
      </c>
    </row>
    <row r="478" spans="1:17" x14ac:dyDescent="0.25">
      <c r="A478" s="2"/>
      <c r="B478" s="2"/>
      <c r="C478" s="2"/>
      <c r="D478" s="5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18"/>
      <c r="P4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8" s="44">
        <f>Tabla1[[#This Row],[Cantidad Realizada]]*Tabla1[[#This Row],[VxU]]</f>
        <v>0</v>
      </c>
    </row>
    <row r="479" spans="1:17" x14ac:dyDescent="0.25">
      <c r="A479" s="2"/>
      <c r="B479" s="2"/>
      <c r="C479" s="2"/>
      <c r="D479" s="5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18"/>
      <c r="P4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79" s="44">
        <f>Tabla1[[#This Row],[Cantidad Realizada]]*Tabla1[[#This Row],[VxU]]</f>
        <v>0</v>
      </c>
    </row>
    <row r="480" spans="1:17" x14ac:dyDescent="0.25">
      <c r="A480" s="2"/>
      <c r="B480" s="2"/>
      <c r="C480" s="2"/>
      <c r="D480" s="5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18"/>
      <c r="P4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0" s="44">
        <f>Tabla1[[#This Row],[Cantidad Realizada]]*Tabla1[[#This Row],[VxU]]</f>
        <v>0</v>
      </c>
    </row>
    <row r="481" spans="1:17" x14ac:dyDescent="0.25">
      <c r="A481" s="2"/>
      <c r="B481" s="2"/>
      <c r="C481" s="2"/>
      <c r="D481" s="5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18"/>
      <c r="P4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1" s="44">
        <f>Tabla1[[#This Row],[Cantidad Realizada]]*Tabla1[[#This Row],[VxU]]</f>
        <v>0</v>
      </c>
    </row>
    <row r="482" spans="1:17" x14ac:dyDescent="0.25">
      <c r="A482" s="2"/>
      <c r="B482" s="2"/>
      <c r="C482" s="2"/>
      <c r="D482" s="5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18"/>
      <c r="P4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2" s="44">
        <f>Tabla1[[#This Row],[Cantidad Realizada]]*Tabla1[[#This Row],[VxU]]</f>
        <v>0</v>
      </c>
    </row>
    <row r="483" spans="1:17" x14ac:dyDescent="0.25">
      <c r="A483" s="2"/>
      <c r="B483" s="2"/>
      <c r="C483" s="2"/>
      <c r="D483" s="5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18"/>
      <c r="P4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3" s="44">
        <f>Tabla1[[#This Row],[Cantidad Realizada]]*Tabla1[[#This Row],[VxU]]</f>
        <v>0</v>
      </c>
    </row>
    <row r="484" spans="1:17" x14ac:dyDescent="0.25">
      <c r="A484" s="2"/>
      <c r="B484" s="2"/>
      <c r="C484" s="2"/>
      <c r="D484" s="5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18"/>
      <c r="P4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4" s="44">
        <f>Tabla1[[#This Row],[Cantidad Realizada]]*Tabla1[[#This Row],[VxU]]</f>
        <v>0</v>
      </c>
    </row>
    <row r="485" spans="1:17" x14ac:dyDescent="0.25">
      <c r="A485" s="2"/>
      <c r="B485" s="2"/>
      <c r="C485" s="2"/>
      <c r="D485" s="5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18"/>
      <c r="P4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5" s="44">
        <f>Tabla1[[#This Row],[Cantidad Realizada]]*Tabla1[[#This Row],[VxU]]</f>
        <v>0</v>
      </c>
    </row>
    <row r="486" spans="1:17" x14ac:dyDescent="0.25">
      <c r="A486" s="2"/>
      <c r="B486" s="2"/>
      <c r="C486" s="2"/>
      <c r="D486" s="5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18"/>
      <c r="P4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6" s="44">
        <f>Tabla1[[#This Row],[Cantidad Realizada]]*Tabla1[[#This Row],[VxU]]</f>
        <v>0</v>
      </c>
    </row>
    <row r="487" spans="1:17" x14ac:dyDescent="0.25">
      <c r="A487" s="2"/>
      <c r="B487" s="2"/>
      <c r="C487" s="2"/>
      <c r="D487" s="5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18"/>
      <c r="P4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7" s="44">
        <f>Tabla1[[#This Row],[Cantidad Realizada]]*Tabla1[[#This Row],[VxU]]</f>
        <v>0</v>
      </c>
    </row>
    <row r="488" spans="1:17" x14ac:dyDescent="0.25">
      <c r="A488" s="2"/>
      <c r="B488" s="2"/>
      <c r="C488" s="2"/>
      <c r="D488" s="5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18"/>
      <c r="P4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8" s="44">
        <f>Tabla1[[#This Row],[Cantidad Realizada]]*Tabla1[[#This Row],[VxU]]</f>
        <v>0</v>
      </c>
    </row>
    <row r="489" spans="1:17" x14ac:dyDescent="0.25">
      <c r="A489" s="2"/>
      <c r="B489" s="2"/>
      <c r="C489" s="2"/>
      <c r="D489" s="5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18"/>
      <c r="P4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89" s="44">
        <f>Tabla1[[#This Row],[Cantidad Realizada]]*Tabla1[[#This Row],[VxU]]</f>
        <v>0</v>
      </c>
    </row>
    <row r="490" spans="1:17" x14ac:dyDescent="0.25">
      <c r="A490" s="2"/>
      <c r="B490" s="2"/>
      <c r="C490" s="2"/>
      <c r="D490" s="5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18"/>
      <c r="P4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0" s="44">
        <f>Tabla1[[#This Row],[Cantidad Realizada]]*Tabla1[[#This Row],[VxU]]</f>
        <v>0</v>
      </c>
    </row>
    <row r="491" spans="1:17" x14ac:dyDescent="0.25">
      <c r="A491" s="2"/>
      <c r="B491" s="2"/>
      <c r="C491" s="2"/>
      <c r="D491" s="5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18"/>
      <c r="P4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1" s="44">
        <f>Tabla1[[#This Row],[Cantidad Realizada]]*Tabla1[[#This Row],[VxU]]</f>
        <v>0</v>
      </c>
    </row>
    <row r="492" spans="1:17" x14ac:dyDescent="0.25">
      <c r="A492" s="2"/>
      <c r="B492" s="2"/>
      <c r="C492" s="2"/>
      <c r="D492" s="5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18"/>
      <c r="P4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2" s="44">
        <f>Tabla1[[#This Row],[Cantidad Realizada]]*Tabla1[[#This Row],[VxU]]</f>
        <v>0</v>
      </c>
    </row>
    <row r="493" spans="1:17" x14ac:dyDescent="0.25">
      <c r="A493" s="2"/>
      <c r="B493" s="2"/>
      <c r="C493" s="2"/>
      <c r="D493" s="5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18"/>
      <c r="P4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3" s="44">
        <f>Tabla1[[#This Row],[Cantidad Realizada]]*Tabla1[[#This Row],[VxU]]</f>
        <v>0</v>
      </c>
    </row>
    <row r="494" spans="1:17" x14ac:dyDescent="0.25">
      <c r="A494" s="2"/>
      <c r="B494" s="2"/>
      <c r="C494" s="2"/>
      <c r="D494" s="5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18"/>
      <c r="P4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4" s="44">
        <f>Tabla1[[#This Row],[Cantidad Realizada]]*Tabla1[[#This Row],[VxU]]</f>
        <v>0</v>
      </c>
    </row>
    <row r="495" spans="1:17" x14ac:dyDescent="0.25">
      <c r="A495" s="2"/>
      <c r="B495" s="2"/>
      <c r="C495" s="2"/>
      <c r="D495" s="5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18"/>
      <c r="P4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5" s="44">
        <f>Tabla1[[#This Row],[Cantidad Realizada]]*Tabla1[[#This Row],[VxU]]</f>
        <v>0</v>
      </c>
    </row>
    <row r="496" spans="1:17" x14ac:dyDescent="0.25">
      <c r="A496" s="2"/>
      <c r="B496" s="2"/>
      <c r="C496" s="2"/>
      <c r="D496" s="5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18"/>
      <c r="P4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6" s="44">
        <f>Tabla1[[#This Row],[Cantidad Realizada]]*Tabla1[[#This Row],[VxU]]</f>
        <v>0</v>
      </c>
    </row>
    <row r="497" spans="1:17" x14ac:dyDescent="0.25">
      <c r="A497" s="2"/>
      <c r="B497" s="2"/>
      <c r="C497" s="2"/>
      <c r="D497" s="5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18"/>
      <c r="P4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7" s="44">
        <f>Tabla1[[#This Row],[Cantidad Realizada]]*Tabla1[[#This Row],[VxU]]</f>
        <v>0</v>
      </c>
    </row>
    <row r="498" spans="1:17" x14ac:dyDescent="0.25">
      <c r="A498" s="2"/>
      <c r="B498" s="2"/>
      <c r="C498" s="2"/>
      <c r="D498" s="5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18"/>
      <c r="P4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8" s="44">
        <f>Tabla1[[#This Row],[Cantidad Realizada]]*Tabla1[[#This Row],[VxU]]</f>
        <v>0</v>
      </c>
    </row>
    <row r="499" spans="1:17" x14ac:dyDescent="0.25">
      <c r="A499" s="2"/>
      <c r="B499" s="2"/>
      <c r="C499" s="2"/>
      <c r="D499" s="5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18"/>
      <c r="P4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499" s="44">
        <f>Tabla1[[#This Row],[Cantidad Realizada]]*Tabla1[[#This Row],[VxU]]</f>
        <v>0</v>
      </c>
    </row>
    <row r="500" spans="1:17" x14ac:dyDescent="0.25">
      <c r="A500" s="2"/>
      <c r="B500" s="2"/>
      <c r="C500" s="2"/>
      <c r="D500" s="5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18"/>
      <c r="P5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0" s="44">
        <f>Tabla1[[#This Row],[Cantidad Realizada]]*Tabla1[[#This Row],[VxU]]</f>
        <v>0</v>
      </c>
    </row>
    <row r="501" spans="1:17" x14ac:dyDescent="0.25">
      <c r="A501" s="2"/>
      <c r="B501" s="2"/>
      <c r="C501" s="2"/>
      <c r="D501" s="5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18"/>
      <c r="P5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1" s="44">
        <f>Tabla1[[#This Row],[Cantidad Realizada]]*Tabla1[[#This Row],[VxU]]</f>
        <v>0</v>
      </c>
    </row>
    <row r="502" spans="1:17" x14ac:dyDescent="0.25">
      <c r="A502" s="2"/>
      <c r="B502" s="2"/>
      <c r="C502" s="2"/>
      <c r="D502" s="5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18"/>
      <c r="P5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2" s="44">
        <f>Tabla1[[#This Row],[Cantidad Realizada]]*Tabla1[[#This Row],[VxU]]</f>
        <v>0</v>
      </c>
    </row>
    <row r="503" spans="1:17" x14ac:dyDescent="0.25">
      <c r="A503" s="2"/>
      <c r="B503" s="2"/>
      <c r="C503" s="2"/>
      <c r="D503" s="5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18"/>
      <c r="P5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3" s="44">
        <f>Tabla1[[#This Row],[Cantidad Realizada]]*Tabla1[[#This Row],[VxU]]</f>
        <v>0</v>
      </c>
    </row>
    <row r="504" spans="1:17" x14ac:dyDescent="0.25">
      <c r="A504" s="2"/>
      <c r="B504" s="2"/>
      <c r="C504" s="2"/>
      <c r="D504" s="5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18"/>
      <c r="P5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4" s="44">
        <f>Tabla1[[#This Row],[Cantidad Realizada]]*Tabla1[[#This Row],[VxU]]</f>
        <v>0</v>
      </c>
    </row>
    <row r="505" spans="1:17" x14ac:dyDescent="0.25">
      <c r="A505" s="2"/>
      <c r="B505" s="2"/>
      <c r="C505" s="2"/>
      <c r="D505" s="5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18"/>
      <c r="P5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5" s="44">
        <f>Tabla1[[#This Row],[Cantidad Realizada]]*Tabla1[[#This Row],[VxU]]</f>
        <v>0</v>
      </c>
    </row>
    <row r="506" spans="1:17" x14ac:dyDescent="0.25">
      <c r="A506" s="2"/>
      <c r="B506" s="2"/>
      <c r="C506" s="2"/>
      <c r="D506" s="5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18"/>
      <c r="P5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6" s="44">
        <f>Tabla1[[#This Row],[Cantidad Realizada]]*Tabla1[[#This Row],[VxU]]</f>
        <v>0</v>
      </c>
    </row>
    <row r="507" spans="1:17" x14ac:dyDescent="0.25">
      <c r="A507" s="2"/>
      <c r="B507" s="2"/>
      <c r="C507" s="2"/>
      <c r="D507" s="5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18"/>
      <c r="P5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7" s="44">
        <f>Tabla1[[#This Row],[Cantidad Realizada]]*Tabla1[[#This Row],[VxU]]</f>
        <v>0</v>
      </c>
    </row>
    <row r="508" spans="1:17" x14ac:dyDescent="0.25">
      <c r="A508" s="2"/>
      <c r="B508" s="2"/>
      <c r="C508" s="2"/>
      <c r="D508" s="5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18"/>
      <c r="P5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8" s="44">
        <f>Tabla1[[#This Row],[Cantidad Realizada]]*Tabla1[[#This Row],[VxU]]</f>
        <v>0</v>
      </c>
    </row>
    <row r="509" spans="1:17" x14ac:dyDescent="0.25">
      <c r="A509" s="2"/>
      <c r="B509" s="2"/>
      <c r="C509" s="2"/>
      <c r="D509" s="5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18"/>
      <c r="P5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09" s="44">
        <f>Tabla1[[#This Row],[Cantidad Realizada]]*Tabla1[[#This Row],[VxU]]</f>
        <v>0</v>
      </c>
    </row>
    <row r="510" spans="1:17" x14ac:dyDescent="0.25">
      <c r="A510" s="2"/>
      <c r="B510" s="2"/>
      <c r="C510" s="2"/>
      <c r="D510" s="5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18"/>
      <c r="P5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0" s="44">
        <f>Tabla1[[#This Row],[Cantidad Realizada]]*Tabla1[[#This Row],[VxU]]</f>
        <v>0</v>
      </c>
    </row>
    <row r="511" spans="1:17" x14ac:dyDescent="0.25">
      <c r="A511" s="2"/>
      <c r="B511" s="2"/>
      <c r="C511" s="2"/>
      <c r="D511" s="5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18"/>
      <c r="P5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1" s="44">
        <f>Tabla1[[#This Row],[Cantidad Realizada]]*Tabla1[[#This Row],[VxU]]</f>
        <v>0</v>
      </c>
    </row>
    <row r="512" spans="1:17" x14ac:dyDescent="0.25">
      <c r="A512" s="2"/>
      <c r="B512" s="2"/>
      <c r="C512" s="2"/>
      <c r="D512" s="5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18"/>
      <c r="P5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2" s="44">
        <f>Tabla1[[#This Row],[Cantidad Realizada]]*Tabla1[[#This Row],[VxU]]</f>
        <v>0</v>
      </c>
    </row>
    <row r="513" spans="1:17" x14ac:dyDescent="0.25">
      <c r="A513" s="2"/>
      <c r="B513" s="2"/>
      <c r="C513" s="2"/>
      <c r="D513" s="5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18"/>
      <c r="P5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3" s="44">
        <f>Tabla1[[#This Row],[Cantidad Realizada]]*Tabla1[[#This Row],[VxU]]</f>
        <v>0</v>
      </c>
    </row>
    <row r="514" spans="1:17" x14ac:dyDescent="0.25">
      <c r="A514" s="2"/>
      <c r="B514" s="2"/>
      <c r="C514" s="2"/>
      <c r="D514" s="5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18"/>
      <c r="P5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4" s="44">
        <f>Tabla1[[#This Row],[Cantidad Realizada]]*Tabla1[[#This Row],[VxU]]</f>
        <v>0</v>
      </c>
    </row>
    <row r="515" spans="1:17" x14ac:dyDescent="0.25">
      <c r="A515" s="2"/>
      <c r="B515" s="2"/>
      <c r="C515" s="2"/>
      <c r="D515" s="5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18"/>
      <c r="P5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5" s="44">
        <f>Tabla1[[#This Row],[Cantidad Realizada]]*Tabla1[[#This Row],[VxU]]</f>
        <v>0</v>
      </c>
    </row>
    <row r="516" spans="1:17" x14ac:dyDescent="0.25">
      <c r="A516" s="2"/>
      <c r="B516" s="2"/>
      <c r="C516" s="2"/>
      <c r="D516" s="5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18"/>
      <c r="P5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6" s="44">
        <f>Tabla1[[#This Row],[Cantidad Realizada]]*Tabla1[[#This Row],[VxU]]</f>
        <v>0</v>
      </c>
    </row>
    <row r="517" spans="1:17" x14ac:dyDescent="0.25">
      <c r="A517" s="2"/>
      <c r="B517" s="2"/>
      <c r="C517" s="2"/>
      <c r="D517" s="5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18"/>
      <c r="P5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7" s="44">
        <f>Tabla1[[#This Row],[Cantidad Realizada]]*Tabla1[[#This Row],[VxU]]</f>
        <v>0</v>
      </c>
    </row>
    <row r="518" spans="1:17" x14ac:dyDescent="0.25">
      <c r="A518" s="2"/>
      <c r="B518" s="2"/>
      <c r="C518" s="2"/>
      <c r="D518" s="5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18"/>
      <c r="P5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8" s="44">
        <f>Tabla1[[#This Row],[Cantidad Realizada]]*Tabla1[[#This Row],[VxU]]</f>
        <v>0</v>
      </c>
    </row>
    <row r="519" spans="1:17" x14ac:dyDescent="0.25">
      <c r="A519" s="2"/>
      <c r="B519" s="2"/>
      <c r="C519" s="2"/>
      <c r="D519" s="5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18"/>
      <c r="P5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19" s="44">
        <f>Tabla1[[#This Row],[Cantidad Realizada]]*Tabla1[[#This Row],[VxU]]</f>
        <v>0</v>
      </c>
    </row>
    <row r="520" spans="1:17" x14ac:dyDescent="0.25">
      <c r="A520" s="2"/>
      <c r="B520" s="2"/>
      <c r="C520" s="2"/>
      <c r="D520" s="5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18"/>
      <c r="P5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0" s="44">
        <f>Tabla1[[#This Row],[Cantidad Realizada]]*Tabla1[[#This Row],[VxU]]</f>
        <v>0</v>
      </c>
    </row>
    <row r="521" spans="1:17" x14ac:dyDescent="0.25">
      <c r="A521" s="2"/>
      <c r="B521" s="2"/>
      <c r="C521" s="2"/>
      <c r="D521" s="5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18"/>
      <c r="P5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1" s="44">
        <f>Tabla1[[#This Row],[Cantidad Realizada]]*Tabla1[[#This Row],[VxU]]</f>
        <v>0</v>
      </c>
    </row>
    <row r="522" spans="1:17" x14ac:dyDescent="0.25">
      <c r="A522" s="2"/>
      <c r="B522" s="2"/>
      <c r="C522" s="2"/>
      <c r="D522" s="5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18"/>
      <c r="P5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2" s="44">
        <f>Tabla1[[#This Row],[Cantidad Realizada]]*Tabla1[[#This Row],[VxU]]</f>
        <v>0</v>
      </c>
    </row>
    <row r="523" spans="1:17" x14ac:dyDescent="0.25">
      <c r="A523" s="2"/>
      <c r="B523" s="2"/>
      <c r="C523" s="2"/>
      <c r="D523" s="5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18"/>
      <c r="P5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3" s="44">
        <f>Tabla1[[#This Row],[Cantidad Realizada]]*Tabla1[[#This Row],[VxU]]</f>
        <v>0</v>
      </c>
    </row>
    <row r="524" spans="1:17" x14ac:dyDescent="0.25">
      <c r="A524" s="2"/>
      <c r="B524" s="2"/>
      <c r="C524" s="2"/>
      <c r="D524" s="5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18"/>
      <c r="P5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4" s="44">
        <f>Tabla1[[#This Row],[Cantidad Realizada]]*Tabla1[[#This Row],[VxU]]</f>
        <v>0</v>
      </c>
    </row>
    <row r="525" spans="1:17" x14ac:dyDescent="0.25">
      <c r="A525" s="2"/>
      <c r="B525" s="2"/>
      <c r="C525" s="2"/>
      <c r="D525" s="5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18"/>
      <c r="P5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5" s="44">
        <f>Tabla1[[#This Row],[Cantidad Realizada]]*Tabla1[[#This Row],[VxU]]</f>
        <v>0</v>
      </c>
    </row>
    <row r="526" spans="1:17" x14ac:dyDescent="0.25">
      <c r="A526" s="2"/>
      <c r="B526" s="2"/>
      <c r="C526" s="2"/>
      <c r="D526" s="5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18"/>
      <c r="P5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6" s="44">
        <f>Tabla1[[#This Row],[Cantidad Realizada]]*Tabla1[[#This Row],[VxU]]</f>
        <v>0</v>
      </c>
    </row>
    <row r="527" spans="1:17" x14ac:dyDescent="0.25">
      <c r="A527" s="2"/>
      <c r="B527" s="2"/>
      <c r="C527" s="2"/>
      <c r="D527" s="5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18"/>
      <c r="P5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7" s="44">
        <f>Tabla1[[#This Row],[Cantidad Realizada]]*Tabla1[[#This Row],[VxU]]</f>
        <v>0</v>
      </c>
    </row>
    <row r="528" spans="1:17" x14ac:dyDescent="0.25">
      <c r="A528" s="2"/>
      <c r="B528" s="2"/>
      <c r="C528" s="2"/>
      <c r="D528" s="5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18"/>
      <c r="P5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8" s="44">
        <f>Tabla1[[#This Row],[Cantidad Realizada]]*Tabla1[[#This Row],[VxU]]</f>
        <v>0</v>
      </c>
    </row>
    <row r="529" spans="1:17" x14ac:dyDescent="0.25">
      <c r="A529" s="2"/>
      <c r="B529" s="2"/>
      <c r="C529" s="2"/>
      <c r="D529" s="5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18"/>
      <c r="P5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29" s="44">
        <f>Tabla1[[#This Row],[Cantidad Realizada]]*Tabla1[[#This Row],[VxU]]</f>
        <v>0</v>
      </c>
    </row>
    <row r="530" spans="1:17" x14ac:dyDescent="0.25">
      <c r="A530" s="2"/>
      <c r="B530" s="2"/>
      <c r="C530" s="2"/>
      <c r="D530" s="5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18"/>
      <c r="P5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0" s="44">
        <f>Tabla1[[#This Row],[Cantidad Realizada]]*Tabla1[[#This Row],[VxU]]</f>
        <v>0</v>
      </c>
    </row>
    <row r="531" spans="1:17" x14ac:dyDescent="0.25">
      <c r="A531" s="2"/>
      <c r="B531" s="2"/>
      <c r="C531" s="2"/>
      <c r="D531" s="5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18"/>
      <c r="P5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1" s="44">
        <f>Tabla1[[#This Row],[Cantidad Realizada]]*Tabla1[[#This Row],[VxU]]</f>
        <v>0</v>
      </c>
    </row>
    <row r="532" spans="1:17" x14ac:dyDescent="0.25">
      <c r="A532" s="2"/>
      <c r="B532" s="2"/>
      <c r="C532" s="2"/>
      <c r="D532" s="5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18"/>
      <c r="P5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2" s="44">
        <f>Tabla1[[#This Row],[Cantidad Realizada]]*Tabla1[[#This Row],[VxU]]</f>
        <v>0</v>
      </c>
    </row>
    <row r="533" spans="1:17" x14ac:dyDescent="0.25">
      <c r="A533" s="2"/>
      <c r="B533" s="2"/>
      <c r="C533" s="2"/>
      <c r="D533" s="5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18"/>
      <c r="P5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3" s="44">
        <f>Tabla1[[#This Row],[Cantidad Realizada]]*Tabla1[[#This Row],[VxU]]</f>
        <v>0</v>
      </c>
    </row>
    <row r="534" spans="1:17" x14ac:dyDescent="0.25">
      <c r="A534" s="2"/>
      <c r="B534" s="2"/>
      <c r="C534" s="2"/>
      <c r="D534" s="5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18"/>
      <c r="P5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4" s="44">
        <f>Tabla1[[#This Row],[Cantidad Realizada]]*Tabla1[[#This Row],[VxU]]</f>
        <v>0</v>
      </c>
    </row>
    <row r="535" spans="1:17" x14ac:dyDescent="0.25">
      <c r="A535" s="2"/>
      <c r="B535" s="2"/>
      <c r="C535" s="2"/>
      <c r="D535" s="5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18"/>
      <c r="P5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5" s="44">
        <f>Tabla1[[#This Row],[Cantidad Realizada]]*Tabla1[[#This Row],[VxU]]</f>
        <v>0</v>
      </c>
    </row>
    <row r="536" spans="1:17" x14ac:dyDescent="0.25">
      <c r="A536" s="2"/>
      <c r="B536" s="2"/>
      <c r="C536" s="2"/>
      <c r="D536" s="5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18"/>
      <c r="P5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6" s="44">
        <f>Tabla1[[#This Row],[Cantidad Realizada]]*Tabla1[[#This Row],[VxU]]</f>
        <v>0</v>
      </c>
    </row>
    <row r="537" spans="1:17" x14ac:dyDescent="0.25">
      <c r="A537" s="2"/>
      <c r="B537" s="2"/>
      <c r="C537" s="2"/>
      <c r="D537" s="5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18"/>
      <c r="P5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7" s="44">
        <f>Tabla1[[#This Row],[Cantidad Realizada]]*Tabla1[[#This Row],[VxU]]</f>
        <v>0</v>
      </c>
    </row>
    <row r="538" spans="1:17" x14ac:dyDescent="0.25">
      <c r="A538" s="2"/>
      <c r="B538" s="2"/>
      <c r="C538" s="2"/>
      <c r="D538" s="5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18"/>
      <c r="P5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8" s="44">
        <f>Tabla1[[#This Row],[Cantidad Realizada]]*Tabla1[[#This Row],[VxU]]</f>
        <v>0</v>
      </c>
    </row>
    <row r="539" spans="1:17" x14ac:dyDescent="0.25">
      <c r="A539" s="2"/>
      <c r="B539" s="2"/>
      <c r="C539" s="2"/>
      <c r="D539" s="5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18"/>
      <c r="P5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39" s="44">
        <f>Tabla1[[#This Row],[Cantidad Realizada]]*Tabla1[[#This Row],[VxU]]</f>
        <v>0</v>
      </c>
    </row>
    <row r="540" spans="1:17" x14ac:dyDescent="0.25">
      <c r="A540" s="2"/>
      <c r="B540" s="2"/>
      <c r="C540" s="2"/>
      <c r="D540" s="5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18"/>
      <c r="P5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0" s="44">
        <f>Tabla1[[#This Row],[Cantidad Realizada]]*Tabla1[[#This Row],[VxU]]</f>
        <v>0</v>
      </c>
    </row>
    <row r="541" spans="1:17" x14ac:dyDescent="0.25">
      <c r="A541" s="2"/>
      <c r="B541" s="2"/>
      <c r="C541" s="2"/>
      <c r="D541" s="5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18"/>
      <c r="P5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1" s="44">
        <f>Tabla1[[#This Row],[Cantidad Realizada]]*Tabla1[[#This Row],[VxU]]</f>
        <v>0</v>
      </c>
    </row>
    <row r="542" spans="1:17" x14ac:dyDescent="0.25">
      <c r="A542" s="2"/>
      <c r="B542" s="2"/>
      <c r="C542" s="2"/>
      <c r="D542" s="5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18"/>
      <c r="P5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2" s="44">
        <f>Tabla1[[#This Row],[Cantidad Realizada]]*Tabla1[[#This Row],[VxU]]</f>
        <v>0</v>
      </c>
    </row>
    <row r="543" spans="1:17" x14ac:dyDescent="0.25">
      <c r="A543" s="2"/>
      <c r="B543" s="2"/>
      <c r="C543" s="2"/>
      <c r="D543" s="5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18"/>
      <c r="P5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3" s="44">
        <f>Tabla1[[#This Row],[Cantidad Realizada]]*Tabla1[[#This Row],[VxU]]</f>
        <v>0</v>
      </c>
    </row>
    <row r="544" spans="1:17" x14ac:dyDescent="0.25">
      <c r="A544" s="2"/>
      <c r="B544" s="2"/>
      <c r="C544" s="2"/>
      <c r="D544" s="5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18"/>
      <c r="P5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4" s="44">
        <f>Tabla1[[#This Row],[Cantidad Realizada]]*Tabla1[[#This Row],[VxU]]</f>
        <v>0</v>
      </c>
    </row>
    <row r="545" spans="1:17" x14ac:dyDescent="0.25">
      <c r="A545" s="2"/>
      <c r="B545" s="2"/>
      <c r="C545" s="2"/>
      <c r="D545" s="5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18"/>
      <c r="P5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5" s="44">
        <f>Tabla1[[#This Row],[Cantidad Realizada]]*Tabla1[[#This Row],[VxU]]</f>
        <v>0</v>
      </c>
    </row>
    <row r="546" spans="1:17" x14ac:dyDescent="0.25">
      <c r="A546" s="2"/>
      <c r="B546" s="2"/>
      <c r="C546" s="2"/>
      <c r="D546" s="5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18"/>
      <c r="P5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6" s="44">
        <f>Tabla1[[#This Row],[Cantidad Realizada]]*Tabla1[[#This Row],[VxU]]</f>
        <v>0</v>
      </c>
    </row>
    <row r="547" spans="1:17" x14ac:dyDescent="0.25">
      <c r="A547" s="2"/>
      <c r="B547" s="2"/>
      <c r="C547" s="2"/>
      <c r="D547" s="5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18"/>
      <c r="P5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7" s="44">
        <f>Tabla1[[#This Row],[Cantidad Realizada]]*Tabla1[[#This Row],[VxU]]</f>
        <v>0</v>
      </c>
    </row>
    <row r="548" spans="1:17" x14ac:dyDescent="0.25">
      <c r="A548" s="2"/>
      <c r="B548" s="2"/>
      <c r="C548" s="2"/>
      <c r="D548" s="5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18"/>
      <c r="P5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8" s="44">
        <f>Tabla1[[#This Row],[Cantidad Realizada]]*Tabla1[[#This Row],[VxU]]</f>
        <v>0</v>
      </c>
    </row>
    <row r="549" spans="1:17" x14ac:dyDescent="0.25">
      <c r="A549" s="2"/>
      <c r="B549" s="2"/>
      <c r="C549" s="2"/>
      <c r="D549" s="5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18"/>
      <c r="P5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49" s="44">
        <f>Tabla1[[#This Row],[Cantidad Realizada]]*Tabla1[[#This Row],[VxU]]</f>
        <v>0</v>
      </c>
    </row>
    <row r="550" spans="1:17" x14ac:dyDescent="0.25">
      <c r="A550" s="2"/>
      <c r="B550" s="2"/>
      <c r="C550" s="2"/>
      <c r="D550" s="5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18"/>
      <c r="P5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0" s="44">
        <f>Tabla1[[#This Row],[Cantidad Realizada]]*Tabla1[[#This Row],[VxU]]</f>
        <v>0</v>
      </c>
    </row>
    <row r="551" spans="1:17" x14ac:dyDescent="0.25">
      <c r="A551" s="2"/>
      <c r="B551" s="2"/>
      <c r="C551" s="2"/>
      <c r="D551" s="5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18"/>
      <c r="P5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1" s="44">
        <f>Tabla1[[#This Row],[Cantidad Realizada]]*Tabla1[[#This Row],[VxU]]</f>
        <v>0</v>
      </c>
    </row>
    <row r="552" spans="1:17" x14ac:dyDescent="0.25">
      <c r="A552" s="2"/>
      <c r="B552" s="2"/>
      <c r="C552" s="2"/>
      <c r="D552" s="5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18"/>
      <c r="P5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2" s="44">
        <f>Tabla1[[#This Row],[Cantidad Realizada]]*Tabla1[[#This Row],[VxU]]</f>
        <v>0</v>
      </c>
    </row>
    <row r="553" spans="1:17" x14ac:dyDescent="0.25">
      <c r="A553" s="2"/>
      <c r="B553" s="2"/>
      <c r="C553" s="2"/>
      <c r="D553" s="5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18"/>
      <c r="P5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3" s="44">
        <f>Tabla1[[#This Row],[Cantidad Realizada]]*Tabla1[[#This Row],[VxU]]</f>
        <v>0</v>
      </c>
    </row>
    <row r="554" spans="1:17" x14ac:dyDescent="0.25">
      <c r="A554" s="2"/>
      <c r="B554" s="2"/>
      <c r="C554" s="2"/>
      <c r="D554" s="5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18"/>
      <c r="P5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4" s="44">
        <f>Tabla1[[#This Row],[Cantidad Realizada]]*Tabla1[[#This Row],[VxU]]</f>
        <v>0</v>
      </c>
    </row>
    <row r="555" spans="1:17" x14ac:dyDescent="0.25">
      <c r="A555" s="2"/>
      <c r="B555" s="2"/>
      <c r="C555" s="2"/>
      <c r="D555" s="5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18"/>
      <c r="P5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5" s="44">
        <f>Tabla1[[#This Row],[Cantidad Realizada]]*Tabla1[[#This Row],[VxU]]</f>
        <v>0</v>
      </c>
    </row>
    <row r="556" spans="1:17" x14ac:dyDescent="0.25">
      <c r="A556" s="2"/>
      <c r="B556" s="2"/>
      <c r="C556" s="2"/>
      <c r="D556" s="5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18"/>
      <c r="P5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6" s="44">
        <f>Tabla1[[#This Row],[Cantidad Realizada]]*Tabla1[[#This Row],[VxU]]</f>
        <v>0</v>
      </c>
    </row>
    <row r="557" spans="1:17" x14ac:dyDescent="0.25">
      <c r="A557" s="2"/>
      <c r="B557" s="2"/>
      <c r="C557" s="2"/>
      <c r="D557" s="5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18"/>
      <c r="P5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7" s="44">
        <f>Tabla1[[#This Row],[Cantidad Realizada]]*Tabla1[[#This Row],[VxU]]</f>
        <v>0</v>
      </c>
    </row>
    <row r="558" spans="1:17" x14ac:dyDescent="0.25">
      <c r="A558" s="2"/>
      <c r="B558" s="2"/>
      <c r="C558" s="2"/>
      <c r="D558" s="5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18"/>
      <c r="P5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8" s="44">
        <f>Tabla1[[#This Row],[Cantidad Realizada]]*Tabla1[[#This Row],[VxU]]</f>
        <v>0</v>
      </c>
    </row>
    <row r="559" spans="1:17" x14ac:dyDescent="0.25">
      <c r="A559" s="2"/>
      <c r="B559" s="2"/>
      <c r="C559" s="2"/>
      <c r="D559" s="5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18"/>
      <c r="P5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59" s="44">
        <f>Tabla1[[#This Row],[Cantidad Realizada]]*Tabla1[[#This Row],[VxU]]</f>
        <v>0</v>
      </c>
    </row>
    <row r="560" spans="1:17" x14ac:dyDescent="0.25">
      <c r="A560" s="2"/>
      <c r="B560" s="2"/>
      <c r="C560" s="2"/>
      <c r="D560" s="5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18"/>
      <c r="P5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0" s="44">
        <f>Tabla1[[#This Row],[Cantidad Realizada]]*Tabla1[[#This Row],[VxU]]</f>
        <v>0</v>
      </c>
    </row>
    <row r="561" spans="1:17" x14ac:dyDescent="0.25">
      <c r="A561" s="2"/>
      <c r="B561" s="2"/>
      <c r="C561" s="2"/>
      <c r="D561" s="5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18"/>
      <c r="P5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1" s="44">
        <f>Tabla1[[#This Row],[Cantidad Realizada]]*Tabla1[[#This Row],[VxU]]</f>
        <v>0</v>
      </c>
    </row>
    <row r="562" spans="1:17" x14ac:dyDescent="0.25">
      <c r="A562" s="2"/>
      <c r="B562" s="2"/>
      <c r="C562" s="2"/>
      <c r="D562" s="5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18"/>
      <c r="P5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2" s="44">
        <f>Tabla1[[#This Row],[Cantidad Realizada]]*Tabla1[[#This Row],[VxU]]</f>
        <v>0</v>
      </c>
    </row>
    <row r="563" spans="1:17" x14ac:dyDescent="0.25">
      <c r="A563" s="2"/>
      <c r="B563" s="2"/>
      <c r="C563" s="2"/>
      <c r="D563" s="5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18"/>
      <c r="P5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3" s="44">
        <f>Tabla1[[#This Row],[Cantidad Realizada]]*Tabla1[[#This Row],[VxU]]</f>
        <v>0</v>
      </c>
    </row>
    <row r="564" spans="1:17" x14ac:dyDescent="0.25">
      <c r="A564" s="2"/>
      <c r="B564" s="2"/>
      <c r="C564" s="2"/>
      <c r="D564" s="5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18"/>
      <c r="P5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4" s="44">
        <f>Tabla1[[#This Row],[Cantidad Realizada]]*Tabla1[[#This Row],[VxU]]</f>
        <v>0</v>
      </c>
    </row>
    <row r="565" spans="1:17" x14ac:dyDescent="0.25">
      <c r="A565" s="2"/>
      <c r="B565" s="2"/>
      <c r="C565" s="2"/>
      <c r="D565" s="5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18"/>
      <c r="P5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5" s="44">
        <f>Tabla1[[#This Row],[Cantidad Realizada]]*Tabla1[[#This Row],[VxU]]</f>
        <v>0</v>
      </c>
    </row>
    <row r="566" spans="1:17" x14ac:dyDescent="0.25">
      <c r="A566" s="2"/>
      <c r="B566" s="2"/>
      <c r="C566" s="2"/>
      <c r="D566" s="5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18"/>
      <c r="P5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6" s="44">
        <f>Tabla1[[#This Row],[Cantidad Realizada]]*Tabla1[[#This Row],[VxU]]</f>
        <v>0</v>
      </c>
    </row>
    <row r="567" spans="1:17" x14ac:dyDescent="0.25">
      <c r="A567" s="2"/>
      <c r="B567" s="2"/>
      <c r="C567" s="2"/>
      <c r="D567" s="5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18"/>
      <c r="P5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7" s="44">
        <f>Tabla1[[#This Row],[Cantidad Realizada]]*Tabla1[[#This Row],[VxU]]</f>
        <v>0</v>
      </c>
    </row>
    <row r="568" spans="1:17" x14ac:dyDescent="0.25">
      <c r="A568" s="2"/>
      <c r="B568" s="2"/>
      <c r="C568" s="2"/>
      <c r="D568" s="5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18"/>
      <c r="P5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8" s="44">
        <f>Tabla1[[#This Row],[Cantidad Realizada]]*Tabla1[[#This Row],[VxU]]</f>
        <v>0</v>
      </c>
    </row>
    <row r="569" spans="1:17" x14ac:dyDescent="0.25">
      <c r="A569" s="2"/>
      <c r="B569" s="2"/>
      <c r="C569" s="2"/>
      <c r="D569" s="5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18"/>
      <c r="P5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69" s="44">
        <f>Tabla1[[#This Row],[Cantidad Realizada]]*Tabla1[[#This Row],[VxU]]</f>
        <v>0</v>
      </c>
    </row>
    <row r="570" spans="1:17" x14ac:dyDescent="0.25">
      <c r="A570" s="2"/>
      <c r="B570" s="2"/>
      <c r="C570" s="2"/>
      <c r="D570" s="5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18"/>
      <c r="P5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0" s="44">
        <f>Tabla1[[#This Row],[Cantidad Realizada]]*Tabla1[[#This Row],[VxU]]</f>
        <v>0</v>
      </c>
    </row>
    <row r="571" spans="1:17" x14ac:dyDescent="0.25">
      <c r="A571" s="2"/>
      <c r="B571" s="2"/>
      <c r="C571" s="2"/>
      <c r="D571" s="5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18"/>
      <c r="P5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1" s="44">
        <f>Tabla1[[#This Row],[Cantidad Realizada]]*Tabla1[[#This Row],[VxU]]</f>
        <v>0</v>
      </c>
    </row>
    <row r="572" spans="1:17" x14ac:dyDescent="0.25">
      <c r="A572" s="2"/>
      <c r="B572" s="2"/>
      <c r="C572" s="2"/>
      <c r="D572" s="5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18"/>
      <c r="P5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2" s="44">
        <f>Tabla1[[#This Row],[Cantidad Realizada]]*Tabla1[[#This Row],[VxU]]</f>
        <v>0</v>
      </c>
    </row>
    <row r="573" spans="1:17" x14ac:dyDescent="0.25">
      <c r="A573" s="2"/>
      <c r="B573" s="2"/>
      <c r="C573" s="2"/>
      <c r="D573" s="5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18"/>
      <c r="P5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3" s="44">
        <f>Tabla1[[#This Row],[Cantidad Realizada]]*Tabla1[[#This Row],[VxU]]</f>
        <v>0</v>
      </c>
    </row>
    <row r="574" spans="1:17" x14ac:dyDescent="0.25">
      <c r="A574" s="2"/>
      <c r="B574" s="2"/>
      <c r="C574" s="2"/>
      <c r="D574" s="5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18"/>
      <c r="P5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4" s="44">
        <f>Tabla1[[#This Row],[Cantidad Realizada]]*Tabla1[[#This Row],[VxU]]</f>
        <v>0</v>
      </c>
    </row>
    <row r="575" spans="1:17" x14ac:dyDescent="0.25">
      <c r="A575" s="2"/>
      <c r="B575" s="2"/>
      <c r="C575" s="2"/>
      <c r="D575" s="5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18"/>
      <c r="P5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5" s="44">
        <f>Tabla1[[#This Row],[Cantidad Realizada]]*Tabla1[[#This Row],[VxU]]</f>
        <v>0</v>
      </c>
    </row>
    <row r="576" spans="1:17" x14ac:dyDescent="0.25">
      <c r="A576" s="2"/>
      <c r="B576" s="2"/>
      <c r="C576" s="2"/>
      <c r="D576" s="5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18"/>
      <c r="P5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6" s="44">
        <f>Tabla1[[#This Row],[Cantidad Realizada]]*Tabla1[[#This Row],[VxU]]</f>
        <v>0</v>
      </c>
    </row>
    <row r="577" spans="1:17" x14ac:dyDescent="0.25">
      <c r="A577" s="2"/>
      <c r="B577" s="2"/>
      <c r="C577" s="2"/>
      <c r="D577" s="5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18"/>
      <c r="P5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7" s="44">
        <f>Tabla1[[#This Row],[Cantidad Realizada]]*Tabla1[[#This Row],[VxU]]</f>
        <v>0</v>
      </c>
    </row>
    <row r="578" spans="1:17" x14ac:dyDescent="0.25">
      <c r="A578" s="2"/>
      <c r="B578" s="2"/>
      <c r="C578" s="2"/>
      <c r="D578" s="5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18"/>
      <c r="P5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8" s="44">
        <f>Tabla1[[#This Row],[Cantidad Realizada]]*Tabla1[[#This Row],[VxU]]</f>
        <v>0</v>
      </c>
    </row>
    <row r="579" spans="1:17" x14ac:dyDescent="0.25">
      <c r="A579" s="2"/>
      <c r="B579" s="2"/>
      <c r="C579" s="2"/>
      <c r="D579" s="5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18"/>
      <c r="P5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79" s="44">
        <f>Tabla1[[#This Row],[Cantidad Realizada]]*Tabla1[[#This Row],[VxU]]</f>
        <v>0</v>
      </c>
    </row>
    <row r="580" spans="1:17" x14ac:dyDescent="0.25">
      <c r="A580" s="38"/>
      <c r="B580" s="38"/>
      <c r="C580" s="38"/>
      <c r="D580" s="39"/>
      <c r="E580" s="39"/>
      <c r="F580" s="38"/>
      <c r="G580" s="38"/>
      <c r="H580" s="38"/>
      <c r="I580" s="38"/>
      <c r="J580" s="38"/>
      <c r="K580" s="38"/>
      <c r="L580" s="38"/>
      <c r="M580" s="38"/>
      <c r="N580" s="38"/>
      <c r="O580" s="40"/>
      <c r="P5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0" s="44">
        <f>Tabla1[[#This Row],[Cantidad Realizada]]*Tabla1[[#This Row],[VxU]]</f>
        <v>0</v>
      </c>
    </row>
    <row r="581" spans="1:17" x14ac:dyDescent="0.25">
      <c r="A581" s="2"/>
      <c r="B581" s="2"/>
      <c r="C581" s="2"/>
      <c r="D581" s="5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18"/>
      <c r="P5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1" s="44">
        <f>Tabla1[[#This Row],[Cantidad Realizada]]*Tabla1[[#This Row],[VxU]]</f>
        <v>0</v>
      </c>
    </row>
    <row r="582" spans="1:17" x14ac:dyDescent="0.25">
      <c r="A582" s="2"/>
      <c r="B582" s="2"/>
      <c r="C582" s="2"/>
      <c r="D582" s="5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18"/>
      <c r="P5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2" s="44">
        <f>Tabla1[[#This Row],[Cantidad Realizada]]*Tabla1[[#This Row],[VxU]]</f>
        <v>0</v>
      </c>
    </row>
    <row r="583" spans="1:17" x14ac:dyDescent="0.25">
      <c r="A583" s="2"/>
      <c r="B583" s="2"/>
      <c r="C583" s="2"/>
      <c r="D583" s="5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18"/>
      <c r="P5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3" s="44">
        <f>Tabla1[[#This Row],[Cantidad Realizada]]*Tabla1[[#This Row],[VxU]]</f>
        <v>0</v>
      </c>
    </row>
    <row r="584" spans="1:17" x14ac:dyDescent="0.25">
      <c r="A584" s="2"/>
      <c r="B584" s="2"/>
      <c r="C584" s="2"/>
      <c r="D584" s="5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18"/>
      <c r="P5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4" s="44">
        <f>Tabla1[[#This Row],[Cantidad Realizada]]*Tabla1[[#This Row],[VxU]]</f>
        <v>0</v>
      </c>
    </row>
    <row r="585" spans="1:17" x14ac:dyDescent="0.25">
      <c r="A585" s="2"/>
      <c r="B585" s="2"/>
      <c r="C585" s="2"/>
      <c r="D585" s="5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18"/>
      <c r="P5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5" s="44">
        <f>Tabla1[[#This Row],[Cantidad Realizada]]*Tabla1[[#This Row],[VxU]]</f>
        <v>0</v>
      </c>
    </row>
    <row r="586" spans="1:17" x14ac:dyDescent="0.25">
      <c r="A586" s="2"/>
      <c r="B586" s="2"/>
      <c r="C586" s="2"/>
      <c r="D586" s="5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18"/>
      <c r="P5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6" s="44">
        <f>Tabla1[[#This Row],[Cantidad Realizada]]*Tabla1[[#This Row],[VxU]]</f>
        <v>0</v>
      </c>
    </row>
    <row r="587" spans="1:17" x14ac:dyDescent="0.25">
      <c r="A587" s="2"/>
      <c r="B587" s="2"/>
      <c r="C587" s="2"/>
      <c r="D587" s="5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18"/>
      <c r="P5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7" s="44">
        <f>Tabla1[[#This Row],[Cantidad Realizada]]*Tabla1[[#This Row],[VxU]]</f>
        <v>0</v>
      </c>
    </row>
    <row r="588" spans="1:17" x14ac:dyDescent="0.25">
      <c r="A588" s="2"/>
      <c r="B588" s="2"/>
      <c r="C588" s="2"/>
      <c r="D588" s="5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18"/>
      <c r="P5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8" s="44">
        <f>Tabla1[[#This Row],[Cantidad Realizada]]*Tabla1[[#This Row],[VxU]]</f>
        <v>0</v>
      </c>
    </row>
    <row r="589" spans="1:17" x14ac:dyDescent="0.25">
      <c r="A589" s="2"/>
      <c r="B589" s="2"/>
      <c r="C589" s="2"/>
      <c r="D589" s="5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18"/>
      <c r="P5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89" s="44">
        <f>Tabla1[[#This Row],[Cantidad Realizada]]*Tabla1[[#This Row],[VxU]]</f>
        <v>0</v>
      </c>
    </row>
    <row r="590" spans="1:17" x14ac:dyDescent="0.25">
      <c r="A590" s="2"/>
      <c r="B590" s="2"/>
      <c r="C590" s="2"/>
      <c r="D590" s="5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18"/>
      <c r="P5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0" s="44">
        <f>Tabla1[[#This Row],[Cantidad Realizada]]*Tabla1[[#This Row],[VxU]]</f>
        <v>0</v>
      </c>
    </row>
    <row r="591" spans="1:17" x14ac:dyDescent="0.25">
      <c r="A591" s="2"/>
      <c r="B591" s="2"/>
      <c r="C591" s="2"/>
      <c r="D591" s="5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18"/>
      <c r="P5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1" s="44">
        <f>Tabla1[[#This Row],[Cantidad Realizada]]*Tabla1[[#This Row],[VxU]]</f>
        <v>0</v>
      </c>
    </row>
    <row r="592" spans="1:17" x14ac:dyDescent="0.25">
      <c r="A592" s="2"/>
      <c r="B592" s="2"/>
      <c r="C592" s="2"/>
      <c r="D592" s="5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18"/>
      <c r="P5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2" s="44">
        <f>Tabla1[[#This Row],[Cantidad Realizada]]*Tabla1[[#This Row],[VxU]]</f>
        <v>0</v>
      </c>
    </row>
    <row r="593" spans="1:17" x14ac:dyDescent="0.25">
      <c r="A593" s="2"/>
      <c r="B593" s="2"/>
      <c r="C593" s="2"/>
      <c r="D593" s="5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18"/>
      <c r="P5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3" s="44">
        <f>Tabla1[[#This Row],[Cantidad Realizada]]*Tabla1[[#This Row],[VxU]]</f>
        <v>0</v>
      </c>
    </row>
    <row r="594" spans="1:17" x14ac:dyDescent="0.25">
      <c r="A594" s="2"/>
      <c r="B594" s="2"/>
      <c r="C594" s="2"/>
      <c r="D594" s="5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18"/>
      <c r="P5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4" s="44">
        <f>Tabla1[[#This Row],[Cantidad Realizada]]*Tabla1[[#This Row],[VxU]]</f>
        <v>0</v>
      </c>
    </row>
    <row r="595" spans="1:17" x14ac:dyDescent="0.25">
      <c r="A595" s="2"/>
      <c r="B595" s="2"/>
      <c r="C595" s="2"/>
      <c r="D595" s="5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18"/>
      <c r="P5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5" s="44">
        <f>Tabla1[[#This Row],[Cantidad Realizada]]*Tabla1[[#This Row],[VxU]]</f>
        <v>0</v>
      </c>
    </row>
    <row r="596" spans="1:17" x14ac:dyDescent="0.25">
      <c r="A596" s="2"/>
      <c r="B596" s="2"/>
      <c r="C596" s="2"/>
      <c r="D596" s="5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18"/>
      <c r="P5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6" s="44">
        <f>Tabla1[[#This Row],[Cantidad Realizada]]*Tabla1[[#This Row],[VxU]]</f>
        <v>0</v>
      </c>
    </row>
    <row r="597" spans="1:17" x14ac:dyDescent="0.25">
      <c r="A597" s="2"/>
      <c r="B597" s="2"/>
      <c r="C597" s="2"/>
      <c r="D597" s="5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18"/>
      <c r="P5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7" s="44">
        <f>Tabla1[[#This Row],[Cantidad Realizada]]*Tabla1[[#This Row],[VxU]]</f>
        <v>0</v>
      </c>
    </row>
    <row r="598" spans="1:17" x14ac:dyDescent="0.25">
      <c r="A598" s="2"/>
      <c r="B598" s="2"/>
      <c r="C598" s="2"/>
      <c r="D598" s="5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18"/>
      <c r="P5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8" s="44">
        <f>Tabla1[[#This Row],[Cantidad Realizada]]*Tabla1[[#This Row],[VxU]]</f>
        <v>0</v>
      </c>
    </row>
    <row r="599" spans="1:17" x14ac:dyDescent="0.25">
      <c r="A599" s="2"/>
      <c r="B599" s="2"/>
      <c r="C599" s="2"/>
      <c r="D599" s="5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18"/>
      <c r="P5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599" s="44">
        <f>Tabla1[[#This Row],[Cantidad Realizada]]*Tabla1[[#This Row],[VxU]]</f>
        <v>0</v>
      </c>
    </row>
    <row r="600" spans="1:17" x14ac:dyDescent="0.25">
      <c r="A600" s="2"/>
      <c r="B600" s="2"/>
      <c r="C600" s="2"/>
      <c r="D600" s="5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18"/>
      <c r="P6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0" s="44">
        <f>Tabla1[[#This Row],[Cantidad Realizada]]*Tabla1[[#This Row],[VxU]]</f>
        <v>0</v>
      </c>
    </row>
    <row r="601" spans="1:17" x14ac:dyDescent="0.25">
      <c r="A601" s="2"/>
      <c r="B601" s="2"/>
      <c r="C601" s="2"/>
      <c r="D601" s="5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18"/>
      <c r="P6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1" s="44">
        <f>Tabla1[[#This Row],[Cantidad Realizada]]*Tabla1[[#This Row],[VxU]]</f>
        <v>0</v>
      </c>
    </row>
    <row r="602" spans="1:17" x14ac:dyDescent="0.25">
      <c r="A602" s="2"/>
      <c r="B602" s="2"/>
      <c r="C602" s="2"/>
      <c r="D602" s="5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18"/>
      <c r="P6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2" s="44">
        <f>Tabla1[[#This Row],[Cantidad Realizada]]*Tabla1[[#This Row],[VxU]]</f>
        <v>0</v>
      </c>
    </row>
    <row r="603" spans="1:17" x14ac:dyDescent="0.25">
      <c r="A603" s="2"/>
      <c r="B603" s="2"/>
      <c r="C603" s="2"/>
      <c r="D603" s="5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18"/>
      <c r="P6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3" s="44">
        <f>Tabla1[[#This Row],[Cantidad Realizada]]*Tabla1[[#This Row],[VxU]]</f>
        <v>0</v>
      </c>
    </row>
    <row r="604" spans="1:17" x14ac:dyDescent="0.25">
      <c r="A604" s="2"/>
      <c r="B604" s="2"/>
      <c r="C604" s="2"/>
      <c r="D604" s="5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18"/>
      <c r="P6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4" s="44">
        <f>Tabla1[[#This Row],[Cantidad Realizada]]*Tabla1[[#This Row],[VxU]]</f>
        <v>0</v>
      </c>
    </row>
    <row r="605" spans="1:17" x14ac:dyDescent="0.25">
      <c r="A605" s="2"/>
      <c r="B605" s="2"/>
      <c r="C605" s="2"/>
      <c r="D605" s="5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18"/>
      <c r="P6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5" s="44">
        <f>Tabla1[[#This Row],[Cantidad Realizada]]*Tabla1[[#This Row],[VxU]]</f>
        <v>0</v>
      </c>
    </row>
    <row r="606" spans="1:17" x14ac:dyDescent="0.25">
      <c r="A606" s="2"/>
      <c r="B606" s="2"/>
      <c r="C606" s="2"/>
      <c r="D606" s="5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18"/>
      <c r="P6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6" s="44">
        <f>Tabla1[[#This Row],[Cantidad Realizada]]*Tabla1[[#This Row],[VxU]]</f>
        <v>0</v>
      </c>
    </row>
    <row r="607" spans="1:17" x14ac:dyDescent="0.25">
      <c r="A607" s="2"/>
      <c r="B607" s="2"/>
      <c r="C607" s="2"/>
      <c r="D607" s="5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18"/>
      <c r="P6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7" s="44">
        <f>Tabla1[[#This Row],[Cantidad Realizada]]*Tabla1[[#This Row],[VxU]]</f>
        <v>0</v>
      </c>
    </row>
    <row r="608" spans="1:17" x14ac:dyDescent="0.25">
      <c r="A608" s="2"/>
      <c r="B608" s="2"/>
      <c r="C608" s="2"/>
      <c r="D608" s="5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18"/>
      <c r="P6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8" s="44">
        <f>Tabla1[[#This Row],[Cantidad Realizada]]*Tabla1[[#This Row],[VxU]]</f>
        <v>0</v>
      </c>
    </row>
    <row r="609" spans="1:17" x14ac:dyDescent="0.25">
      <c r="A609" s="2"/>
      <c r="B609" s="2"/>
      <c r="C609" s="2"/>
      <c r="D609" s="5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18"/>
      <c r="P6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09" s="44">
        <f>Tabla1[[#This Row],[Cantidad Realizada]]*Tabla1[[#This Row],[VxU]]</f>
        <v>0</v>
      </c>
    </row>
    <row r="610" spans="1:17" x14ac:dyDescent="0.25">
      <c r="A610" s="2"/>
      <c r="B610" s="2"/>
      <c r="C610" s="2"/>
      <c r="D610" s="5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18"/>
      <c r="P6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0" s="44">
        <f>Tabla1[[#This Row],[Cantidad Realizada]]*Tabla1[[#This Row],[VxU]]</f>
        <v>0</v>
      </c>
    </row>
    <row r="611" spans="1:17" x14ac:dyDescent="0.25">
      <c r="A611" s="2"/>
      <c r="B611" s="2"/>
      <c r="C611" s="2"/>
      <c r="D611" s="5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18"/>
      <c r="P6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1" s="44">
        <f>Tabla1[[#This Row],[Cantidad Realizada]]*Tabla1[[#This Row],[VxU]]</f>
        <v>0</v>
      </c>
    </row>
    <row r="612" spans="1:17" x14ac:dyDescent="0.25">
      <c r="A612" s="2"/>
      <c r="B612" s="2"/>
      <c r="C612" s="2"/>
      <c r="D612" s="5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18"/>
      <c r="P6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2" s="44">
        <f>Tabla1[[#This Row],[Cantidad Realizada]]*Tabla1[[#This Row],[VxU]]</f>
        <v>0</v>
      </c>
    </row>
    <row r="613" spans="1:17" x14ac:dyDescent="0.25">
      <c r="A613" s="2"/>
      <c r="B613" s="2"/>
      <c r="C613" s="2"/>
      <c r="D613" s="5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18"/>
      <c r="P6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3" s="44">
        <f>Tabla1[[#This Row],[Cantidad Realizada]]*Tabla1[[#This Row],[VxU]]</f>
        <v>0</v>
      </c>
    </row>
    <row r="614" spans="1:17" x14ac:dyDescent="0.25">
      <c r="A614" s="2"/>
      <c r="B614" s="2"/>
      <c r="C614" s="2"/>
      <c r="D614" s="5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18"/>
      <c r="P6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4" s="44">
        <f>Tabla1[[#This Row],[Cantidad Realizada]]*Tabla1[[#This Row],[VxU]]</f>
        <v>0</v>
      </c>
    </row>
    <row r="615" spans="1:17" x14ac:dyDescent="0.25">
      <c r="A615" s="2"/>
      <c r="B615" s="2"/>
      <c r="C615" s="2"/>
      <c r="D615" s="5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18"/>
      <c r="P6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5" s="44">
        <f>Tabla1[[#This Row],[Cantidad Realizada]]*Tabla1[[#This Row],[VxU]]</f>
        <v>0</v>
      </c>
    </row>
    <row r="616" spans="1:17" x14ac:dyDescent="0.25">
      <c r="A616" s="2"/>
      <c r="B616" s="2"/>
      <c r="C616" s="2"/>
      <c r="D616" s="5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18"/>
      <c r="P6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6" s="44">
        <f>Tabla1[[#This Row],[Cantidad Realizada]]*Tabla1[[#This Row],[VxU]]</f>
        <v>0</v>
      </c>
    </row>
    <row r="617" spans="1:17" x14ac:dyDescent="0.25">
      <c r="A617" s="2"/>
      <c r="B617" s="2"/>
      <c r="C617" s="2"/>
      <c r="D617" s="5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18"/>
      <c r="P6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7" s="44">
        <f>Tabla1[[#This Row],[Cantidad Realizada]]*Tabla1[[#This Row],[VxU]]</f>
        <v>0</v>
      </c>
    </row>
    <row r="618" spans="1:17" x14ac:dyDescent="0.25">
      <c r="A618" s="2"/>
      <c r="B618" s="2"/>
      <c r="C618" s="2"/>
      <c r="D618" s="5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18"/>
      <c r="P6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8" s="44">
        <f>Tabla1[[#This Row],[Cantidad Realizada]]*Tabla1[[#This Row],[VxU]]</f>
        <v>0</v>
      </c>
    </row>
    <row r="619" spans="1:17" x14ac:dyDescent="0.25">
      <c r="A619" s="2"/>
      <c r="B619" s="2"/>
      <c r="C619" s="2"/>
      <c r="D619" s="5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18"/>
      <c r="P6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19" s="44">
        <f>Tabla1[[#This Row],[Cantidad Realizada]]*Tabla1[[#This Row],[VxU]]</f>
        <v>0</v>
      </c>
    </row>
    <row r="620" spans="1:17" x14ac:dyDescent="0.25">
      <c r="A620" s="2"/>
      <c r="B620" s="2"/>
      <c r="C620" s="2"/>
      <c r="D620" s="5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18"/>
      <c r="P6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0" s="44">
        <f>Tabla1[[#This Row],[Cantidad Realizada]]*Tabla1[[#This Row],[VxU]]</f>
        <v>0</v>
      </c>
    </row>
    <row r="621" spans="1:17" x14ac:dyDescent="0.25">
      <c r="A621" s="2"/>
      <c r="B621" s="2"/>
      <c r="C621" s="2"/>
      <c r="D621" s="5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18"/>
      <c r="P6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1" s="44">
        <f>Tabla1[[#This Row],[Cantidad Realizada]]*Tabla1[[#This Row],[VxU]]</f>
        <v>0</v>
      </c>
    </row>
    <row r="622" spans="1:17" x14ac:dyDescent="0.25">
      <c r="A622" s="2"/>
      <c r="B622" s="2"/>
      <c r="C622" s="2"/>
      <c r="D622" s="5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18"/>
      <c r="P6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2" s="44">
        <f>Tabla1[[#This Row],[Cantidad Realizada]]*Tabla1[[#This Row],[VxU]]</f>
        <v>0</v>
      </c>
    </row>
    <row r="623" spans="1:17" x14ac:dyDescent="0.25">
      <c r="A623" s="2"/>
      <c r="B623" s="2"/>
      <c r="C623" s="2"/>
      <c r="D623" s="5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18"/>
      <c r="P6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3" s="44">
        <f>Tabla1[[#This Row],[Cantidad Realizada]]*Tabla1[[#This Row],[VxU]]</f>
        <v>0</v>
      </c>
    </row>
    <row r="624" spans="1:17" x14ac:dyDescent="0.25">
      <c r="A624" s="2"/>
      <c r="B624" s="2"/>
      <c r="C624" s="2"/>
      <c r="D624" s="5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18"/>
      <c r="P6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4" s="44">
        <f>Tabla1[[#This Row],[Cantidad Realizada]]*Tabla1[[#This Row],[VxU]]</f>
        <v>0</v>
      </c>
    </row>
    <row r="625" spans="1:17" x14ac:dyDescent="0.25">
      <c r="A625" s="2"/>
      <c r="B625" s="2"/>
      <c r="C625" s="2"/>
      <c r="D625" s="5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18"/>
      <c r="P6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5" s="44">
        <f>Tabla1[[#This Row],[Cantidad Realizada]]*Tabla1[[#This Row],[VxU]]</f>
        <v>0</v>
      </c>
    </row>
    <row r="626" spans="1:17" x14ac:dyDescent="0.25">
      <c r="A626" s="2"/>
      <c r="B626" s="2"/>
      <c r="C626" s="2"/>
      <c r="D626" s="5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18"/>
      <c r="P6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6" s="44">
        <f>Tabla1[[#This Row],[Cantidad Realizada]]*Tabla1[[#This Row],[VxU]]</f>
        <v>0</v>
      </c>
    </row>
    <row r="627" spans="1:17" x14ac:dyDescent="0.25">
      <c r="A627" s="2"/>
      <c r="B627" s="2"/>
      <c r="C627" s="2"/>
      <c r="D627" s="5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18"/>
      <c r="P6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7" s="44">
        <f>Tabla1[[#This Row],[Cantidad Realizada]]*Tabla1[[#This Row],[VxU]]</f>
        <v>0</v>
      </c>
    </row>
    <row r="628" spans="1:17" x14ac:dyDescent="0.25">
      <c r="A628" s="2"/>
      <c r="B628" s="2"/>
      <c r="C628" s="2"/>
      <c r="D628" s="5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18"/>
      <c r="P6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8" s="44">
        <f>Tabla1[[#This Row],[Cantidad Realizada]]*Tabla1[[#This Row],[VxU]]</f>
        <v>0</v>
      </c>
    </row>
    <row r="629" spans="1:17" x14ac:dyDescent="0.25">
      <c r="A629" s="2"/>
      <c r="B629" s="2"/>
      <c r="C629" s="2"/>
      <c r="D629" s="5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18"/>
      <c r="P6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29" s="44">
        <f>Tabla1[[#This Row],[Cantidad Realizada]]*Tabla1[[#This Row],[VxU]]</f>
        <v>0</v>
      </c>
    </row>
    <row r="630" spans="1:17" x14ac:dyDescent="0.25">
      <c r="A630" s="2"/>
      <c r="B630" s="2"/>
      <c r="C630" s="2"/>
      <c r="D630" s="5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18"/>
      <c r="P6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0" s="44">
        <f>Tabla1[[#This Row],[Cantidad Realizada]]*Tabla1[[#This Row],[VxU]]</f>
        <v>0</v>
      </c>
    </row>
    <row r="631" spans="1:17" x14ac:dyDescent="0.25">
      <c r="A631" s="2"/>
      <c r="B631" s="2"/>
      <c r="C631" s="2"/>
      <c r="D631" s="5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18"/>
      <c r="P6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1" s="44">
        <f>Tabla1[[#This Row],[Cantidad Realizada]]*Tabla1[[#This Row],[VxU]]</f>
        <v>0</v>
      </c>
    </row>
    <row r="632" spans="1:17" x14ac:dyDescent="0.25">
      <c r="A632" s="2"/>
      <c r="B632" s="2"/>
      <c r="C632" s="2"/>
      <c r="D632" s="5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18"/>
      <c r="P6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2" s="44">
        <f>Tabla1[[#This Row],[Cantidad Realizada]]*Tabla1[[#This Row],[VxU]]</f>
        <v>0</v>
      </c>
    </row>
    <row r="633" spans="1:17" x14ac:dyDescent="0.25">
      <c r="A633" s="2"/>
      <c r="B633" s="2"/>
      <c r="C633" s="2"/>
      <c r="D633" s="5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18"/>
      <c r="P6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3" s="44">
        <f>Tabla1[[#This Row],[Cantidad Realizada]]*Tabla1[[#This Row],[VxU]]</f>
        <v>0</v>
      </c>
    </row>
    <row r="634" spans="1:17" x14ac:dyDescent="0.25">
      <c r="A634" s="2"/>
      <c r="B634" s="2"/>
      <c r="C634" s="2"/>
      <c r="D634" s="5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18"/>
      <c r="P6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4" s="44">
        <f>Tabla1[[#This Row],[Cantidad Realizada]]*Tabla1[[#This Row],[VxU]]</f>
        <v>0</v>
      </c>
    </row>
    <row r="635" spans="1:17" x14ac:dyDescent="0.25">
      <c r="A635" s="2"/>
      <c r="B635" s="2"/>
      <c r="C635" s="2"/>
      <c r="D635" s="5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18"/>
      <c r="P6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5" s="44">
        <f>Tabla1[[#This Row],[Cantidad Realizada]]*Tabla1[[#This Row],[VxU]]</f>
        <v>0</v>
      </c>
    </row>
    <row r="636" spans="1:17" x14ac:dyDescent="0.25">
      <c r="A636" s="2"/>
      <c r="B636" s="2"/>
      <c r="C636" s="2"/>
      <c r="D636" s="5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18"/>
      <c r="P6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6" s="44">
        <f>Tabla1[[#This Row],[Cantidad Realizada]]*Tabla1[[#This Row],[VxU]]</f>
        <v>0</v>
      </c>
    </row>
    <row r="637" spans="1:17" x14ac:dyDescent="0.25">
      <c r="A637" s="2"/>
      <c r="B637" s="2"/>
      <c r="C637" s="2"/>
      <c r="D637" s="5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18"/>
      <c r="P6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7" s="44">
        <f>Tabla1[[#This Row],[Cantidad Realizada]]*Tabla1[[#This Row],[VxU]]</f>
        <v>0</v>
      </c>
    </row>
    <row r="638" spans="1:17" x14ac:dyDescent="0.25">
      <c r="A638" s="2"/>
      <c r="B638" s="2"/>
      <c r="C638" s="2"/>
      <c r="D638" s="5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18"/>
      <c r="P6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8" s="44">
        <f>Tabla1[[#This Row],[Cantidad Realizada]]*Tabla1[[#This Row],[VxU]]</f>
        <v>0</v>
      </c>
    </row>
    <row r="639" spans="1:17" x14ac:dyDescent="0.25">
      <c r="A639" s="2"/>
      <c r="B639" s="2"/>
      <c r="C639" s="2"/>
      <c r="D639" s="5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18"/>
      <c r="P6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39" s="44">
        <f>Tabla1[[#This Row],[Cantidad Realizada]]*Tabla1[[#This Row],[VxU]]</f>
        <v>0</v>
      </c>
    </row>
    <row r="640" spans="1:17" x14ac:dyDescent="0.25">
      <c r="A640" s="2"/>
      <c r="B640" s="2"/>
      <c r="C640" s="2"/>
      <c r="D640" s="5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18"/>
      <c r="P6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0" s="44">
        <f>Tabla1[[#This Row],[Cantidad Realizada]]*Tabla1[[#This Row],[VxU]]</f>
        <v>0</v>
      </c>
    </row>
    <row r="641" spans="1:17" x14ac:dyDescent="0.25">
      <c r="A641" s="2"/>
      <c r="B641" s="2"/>
      <c r="C641" s="2"/>
      <c r="D641" s="5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18"/>
      <c r="P6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1" s="44">
        <f>Tabla1[[#This Row],[Cantidad Realizada]]*Tabla1[[#This Row],[VxU]]</f>
        <v>0</v>
      </c>
    </row>
    <row r="642" spans="1:17" x14ac:dyDescent="0.25">
      <c r="A642" s="2"/>
      <c r="B642" s="2"/>
      <c r="C642" s="2"/>
      <c r="D642" s="5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18"/>
      <c r="P6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2" s="44">
        <f>Tabla1[[#This Row],[Cantidad Realizada]]*Tabla1[[#This Row],[VxU]]</f>
        <v>0</v>
      </c>
    </row>
    <row r="643" spans="1:17" x14ac:dyDescent="0.25">
      <c r="A643" s="2"/>
      <c r="B643" s="2"/>
      <c r="C643" s="2"/>
      <c r="D643" s="5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18"/>
      <c r="P6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3" s="44">
        <f>Tabla1[[#This Row],[Cantidad Realizada]]*Tabla1[[#This Row],[VxU]]</f>
        <v>0</v>
      </c>
    </row>
    <row r="644" spans="1:17" x14ac:dyDescent="0.25">
      <c r="A644" s="2"/>
      <c r="B644" s="2"/>
      <c r="C644" s="2"/>
      <c r="D644" s="5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18"/>
      <c r="P6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4" s="44">
        <f>Tabla1[[#This Row],[Cantidad Realizada]]*Tabla1[[#This Row],[VxU]]</f>
        <v>0</v>
      </c>
    </row>
    <row r="645" spans="1:17" x14ac:dyDescent="0.25">
      <c r="A645" s="2"/>
      <c r="B645" s="2"/>
      <c r="C645" s="2"/>
      <c r="D645" s="5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18"/>
      <c r="P6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5" s="44">
        <f>Tabla1[[#This Row],[Cantidad Realizada]]*Tabla1[[#This Row],[VxU]]</f>
        <v>0</v>
      </c>
    </row>
    <row r="646" spans="1:17" x14ac:dyDescent="0.25">
      <c r="A646" s="2"/>
      <c r="B646" s="2"/>
      <c r="C646" s="2"/>
      <c r="D646" s="5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18"/>
      <c r="P6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6" s="44">
        <f>Tabla1[[#This Row],[Cantidad Realizada]]*Tabla1[[#This Row],[VxU]]</f>
        <v>0</v>
      </c>
    </row>
    <row r="647" spans="1:17" x14ac:dyDescent="0.25">
      <c r="A647" s="2"/>
      <c r="B647" s="2"/>
      <c r="C647" s="2"/>
      <c r="D647" s="5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18"/>
      <c r="P6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7" s="44">
        <f>Tabla1[[#This Row],[Cantidad Realizada]]*Tabla1[[#This Row],[VxU]]</f>
        <v>0</v>
      </c>
    </row>
    <row r="648" spans="1:17" x14ac:dyDescent="0.25">
      <c r="A648" s="2"/>
      <c r="B648" s="2"/>
      <c r="C648" s="2"/>
      <c r="D648" s="5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18"/>
      <c r="P6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8" s="44">
        <f>Tabla1[[#This Row],[Cantidad Realizada]]*Tabla1[[#This Row],[VxU]]</f>
        <v>0</v>
      </c>
    </row>
    <row r="649" spans="1:17" x14ac:dyDescent="0.25">
      <c r="A649" s="2"/>
      <c r="B649" s="2"/>
      <c r="C649" s="2"/>
      <c r="D649" s="5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18"/>
      <c r="P6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49" s="44">
        <f>Tabla1[[#This Row],[Cantidad Realizada]]*Tabla1[[#This Row],[VxU]]</f>
        <v>0</v>
      </c>
    </row>
    <row r="650" spans="1:17" x14ac:dyDescent="0.25">
      <c r="A650" s="2"/>
      <c r="B650" s="2"/>
      <c r="C650" s="2"/>
      <c r="D650" s="5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18"/>
      <c r="P6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0" s="44">
        <f>Tabla1[[#This Row],[Cantidad Realizada]]*Tabla1[[#This Row],[VxU]]</f>
        <v>0</v>
      </c>
    </row>
    <row r="651" spans="1:17" x14ac:dyDescent="0.25">
      <c r="A651" s="2"/>
      <c r="B651" s="2"/>
      <c r="C651" s="2"/>
      <c r="D651" s="5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18"/>
      <c r="P6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1" s="44">
        <f>Tabla1[[#This Row],[Cantidad Realizada]]*Tabla1[[#This Row],[VxU]]</f>
        <v>0</v>
      </c>
    </row>
    <row r="652" spans="1:17" x14ac:dyDescent="0.25">
      <c r="A652" s="2"/>
      <c r="B652" s="2"/>
      <c r="C652" s="2"/>
      <c r="D652" s="5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18"/>
      <c r="P6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2" s="44">
        <f>Tabla1[[#This Row],[Cantidad Realizada]]*Tabla1[[#This Row],[VxU]]</f>
        <v>0</v>
      </c>
    </row>
    <row r="653" spans="1:17" x14ac:dyDescent="0.25">
      <c r="A653" s="2"/>
      <c r="B653" s="2"/>
      <c r="C653" s="2"/>
      <c r="D653" s="5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18"/>
      <c r="P6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3" s="44">
        <f>Tabla1[[#This Row],[Cantidad Realizada]]*Tabla1[[#This Row],[VxU]]</f>
        <v>0</v>
      </c>
    </row>
    <row r="654" spans="1:17" x14ac:dyDescent="0.25">
      <c r="A654" s="2"/>
      <c r="B654" s="2"/>
      <c r="C654" s="2"/>
      <c r="D654" s="5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18"/>
      <c r="P6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4" s="44">
        <f>Tabla1[[#This Row],[Cantidad Realizada]]*Tabla1[[#This Row],[VxU]]</f>
        <v>0</v>
      </c>
    </row>
    <row r="655" spans="1:17" x14ac:dyDescent="0.25">
      <c r="A655" s="2"/>
      <c r="B655" s="2"/>
      <c r="C655" s="2"/>
      <c r="D655" s="5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18"/>
      <c r="P6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5" s="44">
        <f>Tabla1[[#This Row],[Cantidad Realizada]]*Tabla1[[#This Row],[VxU]]</f>
        <v>0</v>
      </c>
    </row>
    <row r="656" spans="1:17" x14ac:dyDescent="0.25">
      <c r="A656" s="2"/>
      <c r="B656" s="2"/>
      <c r="C656" s="2"/>
      <c r="D656" s="5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18"/>
      <c r="P6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6" s="44">
        <f>Tabla1[[#This Row],[Cantidad Realizada]]*Tabla1[[#This Row],[VxU]]</f>
        <v>0</v>
      </c>
    </row>
    <row r="657" spans="1:17" x14ac:dyDescent="0.25">
      <c r="A657" s="2"/>
      <c r="B657" s="2"/>
      <c r="C657" s="2"/>
      <c r="D657" s="5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18"/>
      <c r="P6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7" s="44">
        <f>Tabla1[[#This Row],[Cantidad Realizada]]*Tabla1[[#This Row],[VxU]]</f>
        <v>0</v>
      </c>
    </row>
    <row r="658" spans="1:17" x14ac:dyDescent="0.25">
      <c r="A658" s="2"/>
      <c r="B658" s="2"/>
      <c r="C658" s="2"/>
      <c r="D658" s="5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18"/>
      <c r="P6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8" s="44">
        <f>Tabla1[[#This Row],[Cantidad Realizada]]*Tabla1[[#This Row],[VxU]]</f>
        <v>0</v>
      </c>
    </row>
    <row r="659" spans="1:17" x14ac:dyDescent="0.25">
      <c r="A659" s="2"/>
      <c r="B659" s="2"/>
      <c r="C659" s="2"/>
      <c r="D659" s="5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18"/>
      <c r="P6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59" s="44">
        <f>Tabla1[[#This Row],[Cantidad Realizada]]*Tabla1[[#This Row],[VxU]]</f>
        <v>0</v>
      </c>
    </row>
    <row r="660" spans="1:17" x14ac:dyDescent="0.25">
      <c r="A660" s="2"/>
      <c r="B660" s="2"/>
      <c r="C660" s="2"/>
      <c r="D660" s="5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18"/>
      <c r="P6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0" s="44">
        <f>Tabla1[[#This Row],[Cantidad Realizada]]*Tabla1[[#This Row],[VxU]]</f>
        <v>0</v>
      </c>
    </row>
    <row r="661" spans="1:17" x14ac:dyDescent="0.25">
      <c r="A661" s="2"/>
      <c r="B661" s="2"/>
      <c r="C661" s="2"/>
      <c r="D661" s="5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18"/>
      <c r="P6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1" s="44">
        <f>Tabla1[[#This Row],[Cantidad Realizada]]*Tabla1[[#This Row],[VxU]]</f>
        <v>0</v>
      </c>
    </row>
    <row r="662" spans="1:17" x14ac:dyDescent="0.25">
      <c r="A662" s="2"/>
      <c r="B662" s="2"/>
      <c r="C662" s="2"/>
      <c r="D662" s="5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18"/>
      <c r="P6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2" s="44">
        <f>Tabla1[[#This Row],[Cantidad Realizada]]*Tabla1[[#This Row],[VxU]]</f>
        <v>0</v>
      </c>
    </row>
    <row r="663" spans="1:17" x14ac:dyDescent="0.25">
      <c r="A663" s="2"/>
      <c r="B663" s="2"/>
      <c r="C663" s="2"/>
      <c r="D663" s="5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18"/>
      <c r="P6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3" s="44">
        <f>Tabla1[[#This Row],[Cantidad Realizada]]*Tabla1[[#This Row],[VxU]]</f>
        <v>0</v>
      </c>
    </row>
    <row r="664" spans="1:17" x14ac:dyDescent="0.25">
      <c r="A664" s="2"/>
      <c r="B664" s="2"/>
      <c r="C664" s="2"/>
      <c r="D664" s="5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18"/>
      <c r="P6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4" s="44">
        <f>Tabla1[[#This Row],[Cantidad Realizada]]*Tabla1[[#This Row],[VxU]]</f>
        <v>0</v>
      </c>
    </row>
    <row r="665" spans="1:17" x14ac:dyDescent="0.25">
      <c r="A665" s="2"/>
      <c r="B665" s="2"/>
      <c r="C665" s="2"/>
      <c r="D665" s="5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18"/>
      <c r="P6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5" s="44">
        <f>Tabla1[[#This Row],[Cantidad Realizada]]*Tabla1[[#This Row],[VxU]]</f>
        <v>0</v>
      </c>
    </row>
    <row r="666" spans="1:17" x14ac:dyDescent="0.25">
      <c r="A666" s="2"/>
      <c r="B666" s="2"/>
      <c r="C666" s="2"/>
      <c r="D666" s="5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18"/>
      <c r="P6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6" s="44">
        <f>Tabla1[[#This Row],[Cantidad Realizada]]*Tabla1[[#This Row],[VxU]]</f>
        <v>0</v>
      </c>
    </row>
    <row r="667" spans="1:17" x14ac:dyDescent="0.25">
      <c r="A667" s="2"/>
      <c r="B667" s="2"/>
      <c r="C667" s="2"/>
      <c r="D667" s="5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18"/>
      <c r="P6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7" s="44">
        <f>Tabla1[[#This Row],[Cantidad Realizada]]*Tabla1[[#This Row],[VxU]]</f>
        <v>0</v>
      </c>
    </row>
    <row r="668" spans="1:17" x14ac:dyDescent="0.25">
      <c r="A668" s="2"/>
      <c r="B668" s="2"/>
      <c r="C668" s="2"/>
      <c r="D668" s="5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18"/>
      <c r="P6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8" s="44">
        <f>Tabla1[[#This Row],[Cantidad Realizada]]*Tabla1[[#This Row],[VxU]]</f>
        <v>0</v>
      </c>
    </row>
    <row r="669" spans="1:17" x14ac:dyDescent="0.25">
      <c r="A669" s="2"/>
      <c r="B669" s="2"/>
      <c r="C669" s="2"/>
      <c r="D669" s="5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18"/>
      <c r="P6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69" s="44">
        <f>Tabla1[[#This Row],[Cantidad Realizada]]*Tabla1[[#This Row],[VxU]]</f>
        <v>0</v>
      </c>
    </row>
    <row r="670" spans="1:17" x14ac:dyDescent="0.25">
      <c r="A670" s="2"/>
      <c r="B670" s="2"/>
      <c r="C670" s="2"/>
      <c r="D670" s="5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18"/>
      <c r="P6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0" s="44">
        <f>Tabla1[[#This Row],[Cantidad Realizada]]*Tabla1[[#This Row],[VxU]]</f>
        <v>0</v>
      </c>
    </row>
    <row r="671" spans="1:17" x14ac:dyDescent="0.25">
      <c r="A671" s="2"/>
      <c r="B671" s="2"/>
      <c r="C671" s="2"/>
      <c r="D671" s="5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18"/>
      <c r="P6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1" s="44">
        <f>Tabla1[[#This Row],[Cantidad Realizada]]*Tabla1[[#This Row],[VxU]]</f>
        <v>0</v>
      </c>
    </row>
    <row r="672" spans="1:17" x14ac:dyDescent="0.25">
      <c r="A672" s="2"/>
      <c r="B672" s="2"/>
      <c r="C672" s="2"/>
      <c r="D672" s="5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18"/>
      <c r="P6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2" s="44">
        <f>Tabla1[[#This Row],[Cantidad Realizada]]*Tabla1[[#This Row],[VxU]]</f>
        <v>0</v>
      </c>
    </row>
    <row r="673" spans="1:17" x14ac:dyDescent="0.25">
      <c r="A673" s="2"/>
      <c r="B673" s="2"/>
      <c r="C673" s="2"/>
      <c r="D673" s="5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18"/>
      <c r="P6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3" s="44">
        <f>Tabla1[[#This Row],[Cantidad Realizada]]*Tabla1[[#This Row],[VxU]]</f>
        <v>0</v>
      </c>
    </row>
    <row r="674" spans="1:17" x14ac:dyDescent="0.25">
      <c r="A674" s="2"/>
      <c r="B674" s="2"/>
      <c r="C674" s="2"/>
      <c r="D674" s="5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18"/>
      <c r="P6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4" s="44">
        <f>Tabla1[[#This Row],[Cantidad Realizada]]*Tabla1[[#This Row],[VxU]]</f>
        <v>0</v>
      </c>
    </row>
    <row r="675" spans="1:17" x14ac:dyDescent="0.25">
      <c r="A675" s="2"/>
      <c r="B675" s="2"/>
      <c r="C675" s="2"/>
      <c r="D675" s="5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18"/>
      <c r="P6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5" s="44">
        <f>Tabla1[[#This Row],[Cantidad Realizada]]*Tabla1[[#This Row],[VxU]]</f>
        <v>0</v>
      </c>
    </row>
    <row r="676" spans="1:17" x14ac:dyDescent="0.25">
      <c r="A676" s="2"/>
      <c r="B676" s="2"/>
      <c r="C676" s="2"/>
      <c r="D676" s="5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18"/>
      <c r="P6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6" s="44">
        <f>Tabla1[[#This Row],[Cantidad Realizada]]*Tabla1[[#This Row],[VxU]]</f>
        <v>0</v>
      </c>
    </row>
    <row r="677" spans="1:17" x14ac:dyDescent="0.25">
      <c r="A677" s="2"/>
      <c r="B677" s="2"/>
      <c r="C677" s="2"/>
      <c r="D677" s="5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18"/>
      <c r="P6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7" s="44">
        <f>Tabla1[[#This Row],[Cantidad Realizada]]*Tabla1[[#This Row],[VxU]]</f>
        <v>0</v>
      </c>
    </row>
    <row r="678" spans="1:17" x14ac:dyDescent="0.25">
      <c r="A678" s="2"/>
      <c r="B678" s="2"/>
      <c r="C678" s="2"/>
      <c r="D678" s="5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18"/>
      <c r="P6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8" s="44">
        <f>Tabla1[[#This Row],[Cantidad Realizada]]*Tabla1[[#This Row],[VxU]]</f>
        <v>0</v>
      </c>
    </row>
    <row r="679" spans="1:17" x14ac:dyDescent="0.25">
      <c r="A679" s="2"/>
      <c r="B679" s="2"/>
      <c r="C679" s="2"/>
      <c r="D679" s="5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18"/>
      <c r="P6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79" s="44">
        <f>Tabla1[[#This Row],[Cantidad Realizada]]*Tabla1[[#This Row],[VxU]]</f>
        <v>0</v>
      </c>
    </row>
    <row r="680" spans="1:17" x14ac:dyDescent="0.25">
      <c r="A680" s="2"/>
      <c r="B680" s="2"/>
      <c r="C680" s="2"/>
      <c r="D680" s="5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18"/>
      <c r="P6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0" s="44">
        <f>Tabla1[[#This Row],[Cantidad Realizada]]*Tabla1[[#This Row],[VxU]]</f>
        <v>0</v>
      </c>
    </row>
    <row r="681" spans="1:17" x14ac:dyDescent="0.25">
      <c r="A681" s="2"/>
      <c r="B681" s="2"/>
      <c r="C681" s="2"/>
      <c r="D681" s="5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18"/>
      <c r="P6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1" s="44">
        <f>Tabla1[[#This Row],[Cantidad Realizada]]*Tabla1[[#This Row],[VxU]]</f>
        <v>0</v>
      </c>
    </row>
    <row r="682" spans="1:17" x14ac:dyDescent="0.25">
      <c r="A682" s="2"/>
      <c r="B682" s="2"/>
      <c r="C682" s="2"/>
      <c r="D682" s="5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18"/>
      <c r="P6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2" s="44">
        <f>Tabla1[[#This Row],[Cantidad Realizada]]*Tabla1[[#This Row],[VxU]]</f>
        <v>0</v>
      </c>
    </row>
    <row r="683" spans="1:17" x14ac:dyDescent="0.25">
      <c r="A683" s="2"/>
      <c r="B683" s="2"/>
      <c r="C683" s="2"/>
      <c r="D683" s="5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18"/>
      <c r="P6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3" s="44">
        <f>Tabla1[[#This Row],[Cantidad Realizada]]*Tabla1[[#This Row],[VxU]]</f>
        <v>0</v>
      </c>
    </row>
    <row r="684" spans="1:17" x14ac:dyDescent="0.25">
      <c r="A684" s="2"/>
      <c r="B684" s="2"/>
      <c r="C684" s="2"/>
      <c r="D684" s="5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18"/>
      <c r="P6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4" s="44">
        <f>Tabla1[[#This Row],[Cantidad Realizada]]*Tabla1[[#This Row],[VxU]]</f>
        <v>0</v>
      </c>
    </row>
    <row r="685" spans="1:17" x14ac:dyDescent="0.25">
      <c r="A685" s="2"/>
      <c r="B685" s="2"/>
      <c r="C685" s="2"/>
      <c r="D685" s="5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18"/>
      <c r="P6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5" s="44">
        <f>Tabla1[[#This Row],[Cantidad Realizada]]*Tabla1[[#This Row],[VxU]]</f>
        <v>0</v>
      </c>
    </row>
    <row r="686" spans="1:17" x14ac:dyDescent="0.25">
      <c r="A686" s="2"/>
      <c r="B686" s="2"/>
      <c r="C686" s="2"/>
      <c r="D686" s="5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18"/>
      <c r="P6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6" s="44">
        <f>Tabla1[[#This Row],[Cantidad Realizada]]*Tabla1[[#This Row],[VxU]]</f>
        <v>0</v>
      </c>
    </row>
    <row r="687" spans="1:17" x14ac:dyDescent="0.25">
      <c r="A687" s="2"/>
      <c r="B687" s="2"/>
      <c r="C687" s="2"/>
      <c r="D687" s="5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18"/>
      <c r="P6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7" s="44">
        <f>Tabla1[[#This Row],[Cantidad Realizada]]*Tabla1[[#This Row],[VxU]]</f>
        <v>0</v>
      </c>
    </row>
    <row r="688" spans="1:17" x14ac:dyDescent="0.25">
      <c r="A688" s="2"/>
      <c r="B688" s="2"/>
      <c r="C688" s="2"/>
      <c r="D688" s="5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18"/>
      <c r="P6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8" s="44">
        <f>Tabla1[[#This Row],[Cantidad Realizada]]*Tabla1[[#This Row],[VxU]]</f>
        <v>0</v>
      </c>
    </row>
    <row r="689" spans="1:17" x14ac:dyDescent="0.25">
      <c r="A689" s="38"/>
      <c r="B689" s="38"/>
      <c r="C689" s="38"/>
      <c r="D689" s="39"/>
      <c r="E689" s="39"/>
      <c r="F689" s="38"/>
      <c r="G689" s="38"/>
      <c r="H689" s="38"/>
      <c r="I689" s="38"/>
      <c r="J689" s="38"/>
      <c r="K689" s="38"/>
      <c r="L689" s="38"/>
      <c r="M689" s="38"/>
      <c r="N689" s="38"/>
      <c r="O689" s="40"/>
      <c r="P6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89" s="44">
        <f>Tabla1[[#This Row],[Cantidad Realizada]]*Tabla1[[#This Row],[VxU]]</f>
        <v>0</v>
      </c>
    </row>
    <row r="690" spans="1:17" x14ac:dyDescent="0.25">
      <c r="A690" s="2"/>
      <c r="B690" s="2"/>
      <c r="C690" s="2"/>
      <c r="D690" s="5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18"/>
      <c r="P6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0" s="44">
        <f>Tabla1[[#This Row],[Cantidad Realizada]]*Tabla1[[#This Row],[VxU]]</f>
        <v>0</v>
      </c>
    </row>
    <row r="691" spans="1:17" x14ac:dyDescent="0.25">
      <c r="A691" s="2"/>
      <c r="B691" s="2"/>
      <c r="C691" s="2"/>
      <c r="D691" s="5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18"/>
      <c r="P6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1" s="44">
        <f>Tabla1[[#This Row],[Cantidad Realizada]]*Tabla1[[#This Row],[VxU]]</f>
        <v>0</v>
      </c>
    </row>
    <row r="692" spans="1:17" x14ac:dyDescent="0.25">
      <c r="A692" s="38"/>
      <c r="B692" s="38"/>
      <c r="C692" s="38"/>
      <c r="D692" s="39"/>
      <c r="E692" s="39"/>
      <c r="F692" s="38"/>
      <c r="G692" s="38"/>
      <c r="H692" s="38"/>
      <c r="I692" s="38"/>
      <c r="J692" s="38"/>
      <c r="K692" s="38"/>
      <c r="L692" s="38"/>
      <c r="M692" s="38"/>
      <c r="N692" s="38"/>
      <c r="O692" s="40"/>
      <c r="P6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2" s="44">
        <f>Tabla1[[#This Row],[Cantidad Realizada]]*Tabla1[[#This Row],[VxU]]</f>
        <v>0</v>
      </c>
    </row>
    <row r="693" spans="1:17" x14ac:dyDescent="0.25">
      <c r="A693" s="2"/>
      <c r="B693" s="2"/>
      <c r="C693" s="2"/>
      <c r="D693" s="5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18"/>
      <c r="P6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3" s="44">
        <f>Tabla1[[#This Row],[Cantidad Realizada]]*Tabla1[[#This Row],[VxU]]</f>
        <v>0</v>
      </c>
    </row>
    <row r="694" spans="1:17" x14ac:dyDescent="0.25">
      <c r="A694" s="2"/>
      <c r="B694" s="2"/>
      <c r="C694" s="2"/>
      <c r="D694" s="5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18"/>
      <c r="P6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4" s="44">
        <f>Tabla1[[#This Row],[Cantidad Realizada]]*Tabla1[[#This Row],[VxU]]</f>
        <v>0</v>
      </c>
    </row>
    <row r="695" spans="1:17" x14ac:dyDescent="0.25">
      <c r="A695" s="2"/>
      <c r="B695" s="2"/>
      <c r="C695" s="2"/>
      <c r="D695" s="5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18"/>
      <c r="P6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5" s="44">
        <f>Tabla1[[#This Row],[Cantidad Realizada]]*Tabla1[[#This Row],[VxU]]</f>
        <v>0</v>
      </c>
    </row>
    <row r="696" spans="1:17" x14ac:dyDescent="0.25">
      <c r="A696" s="2"/>
      <c r="B696" s="2"/>
      <c r="C696" s="2"/>
      <c r="D696" s="5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18"/>
      <c r="P6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6" s="44">
        <f>Tabla1[[#This Row],[Cantidad Realizada]]*Tabla1[[#This Row],[VxU]]</f>
        <v>0</v>
      </c>
    </row>
    <row r="697" spans="1:17" x14ac:dyDescent="0.25">
      <c r="A697" s="2"/>
      <c r="B697" s="2"/>
      <c r="C697" s="2"/>
      <c r="D697" s="5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18"/>
      <c r="P6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7" s="44">
        <f>Tabla1[[#This Row],[Cantidad Realizada]]*Tabla1[[#This Row],[VxU]]</f>
        <v>0</v>
      </c>
    </row>
    <row r="698" spans="1:17" x14ac:dyDescent="0.25">
      <c r="A698" s="2"/>
      <c r="B698" s="2"/>
      <c r="C698" s="2"/>
      <c r="D698" s="5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18"/>
      <c r="P6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8" s="44">
        <f>Tabla1[[#This Row],[Cantidad Realizada]]*Tabla1[[#This Row],[VxU]]</f>
        <v>0</v>
      </c>
    </row>
    <row r="699" spans="1:17" x14ac:dyDescent="0.25">
      <c r="A699" s="2"/>
      <c r="B699" s="2"/>
      <c r="C699" s="2"/>
      <c r="D699" s="5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18"/>
      <c r="P6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699" s="44">
        <f>Tabla1[[#This Row],[Cantidad Realizada]]*Tabla1[[#This Row],[VxU]]</f>
        <v>0</v>
      </c>
    </row>
    <row r="700" spans="1:17" x14ac:dyDescent="0.25">
      <c r="A700" s="2"/>
      <c r="B700" s="2"/>
      <c r="C700" s="2"/>
      <c r="D700" s="5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18"/>
      <c r="P7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0" s="44">
        <f>Tabla1[[#This Row],[Cantidad Realizada]]*Tabla1[[#This Row],[VxU]]</f>
        <v>0</v>
      </c>
    </row>
    <row r="701" spans="1:17" x14ac:dyDescent="0.25">
      <c r="A701" s="2"/>
      <c r="B701" s="2"/>
      <c r="C701" s="2"/>
      <c r="D701" s="5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18"/>
      <c r="P7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1" s="44">
        <f>Tabla1[[#This Row],[Cantidad Realizada]]*Tabla1[[#This Row],[VxU]]</f>
        <v>0</v>
      </c>
    </row>
    <row r="702" spans="1:17" x14ac:dyDescent="0.25">
      <c r="A702" s="2"/>
      <c r="B702" s="2"/>
      <c r="C702" s="2"/>
      <c r="D702" s="5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18"/>
      <c r="P7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2" s="44">
        <f>Tabla1[[#This Row],[Cantidad Realizada]]*Tabla1[[#This Row],[VxU]]</f>
        <v>0</v>
      </c>
    </row>
    <row r="703" spans="1:17" x14ac:dyDescent="0.25">
      <c r="A703" s="2"/>
      <c r="B703" s="2"/>
      <c r="C703" s="2"/>
      <c r="D703" s="5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18"/>
      <c r="P7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3" s="44">
        <f>Tabla1[[#This Row],[Cantidad Realizada]]*Tabla1[[#This Row],[VxU]]</f>
        <v>0</v>
      </c>
    </row>
    <row r="704" spans="1:17" x14ac:dyDescent="0.25">
      <c r="A704" s="2"/>
      <c r="B704" s="2"/>
      <c r="C704" s="2"/>
      <c r="D704" s="5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18"/>
      <c r="P7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4" s="44">
        <f>Tabla1[[#This Row],[Cantidad Realizada]]*Tabla1[[#This Row],[VxU]]</f>
        <v>0</v>
      </c>
    </row>
    <row r="705" spans="1:17" x14ac:dyDescent="0.25">
      <c r="A705" s="2"/>
      <c r="B705" s="2"/>
      <c r="C705" s="2"/>
      <c r="D705" s="5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18"/>
      <c r="P7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5" s="44">
        <f>Tabla1[[#This Row],[Cantidad Realizada]]*Tabla1[[#This Row],[VxU]]</f>
        <v>0</v>
      </c>
    </row>
    <row r="706" spans="1:17" x14ac:dyDescent="0.25">
      <c r="A706" s="2"/>
      <c r="B706" s="2"/>
      <c r="C706" s="2"/>
      <c r="D706" s="5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18"/>
      <c r="P7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6" s="44">
        <f>Tabla1[[#This Row],[Cantidad Realizada]]*Tabla1[[#This Row],[VxU]]</f>
        <v>0</v>
      </c>
    </row>
    <row r="707" spans="1:17" x14ac:dyDescent="0.25">
      <c r="A707" s="2"/>
      <c r="B707" s="2"/>
      <c r="C707" s="2"/>
      <c r="D707" s="5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18"/>
      <c r="P7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7" s="44">
        <f>Tabla1[[#This Row],[Cantidad Realizada]]*Tabla1[[#This Row],[VxU]]</f>
        <v>0</v>
      </c>
    </row>
    <row r="708" spans="1:17" x14ac:dyDescent="0.25">
      <c r="A708" s="2"/>
      <c r="B708" s="2"/>
      <c r="C708" s="2"/>
      <c r="D708" s="5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18"/>
      <c r="P7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8" s="44">
        <f>Tabla1[[#This Row],[Cantidad Realizada]]*Tabla1[[#This Row],[VxU]]</f>
        <v>0</v>
      </c>
    </row>
    <row r="709" spans="1:17" x14ac:dyDescent="0.25">
      <c r="A709" s="2"/>
      <c r="B709" s="2"/>
      <c r="C709" s="2"/>
      <c r="D709" s="5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18"/>
      <c r="P7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09" s="44">
        <f>Tabla1[[#This Row],[Cantidad Realizada]]*Tabla1[[#This Row],[VxU]]</f>
        <v>0</v>
      </c>
    </row>
    <row r="710" spans="1:17" x14ac:dyDescent="0.25">
      <c r="A710" s="2"/>
      <c r="B710" s="2"/>
      <c r="C710" s="2"/>
      <c r="D710" s="5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18"/>
      <c r="P7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0" s="44">
        <f>Tabla1[[#This Row],[Cantidad Realizada]]*Tabla1[[#This Row],[VxU]]</f>
        <v>0</v>
      </c>
    </row>
    <row r="711" spans="1:17" x14ac:dyDescent="0.25">
      <c r="A711" s="2"/>
      <c r="B711" s="2"/>
      <c r="C711" s="2"/>
      <c r="D711" s="5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18"/>
      <c r="P7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1" s="44">
        <f>Tabla1[[#This Row],[Cantidad Realizada]]*Tabla1[[#This Row],[VxU]]</f>
        <v>0</v>
      </c>
    </row>
    <row r="712" spans="1:17" x14ac:dyDescent="0.25">
      <c r="A712" s="2"/>
      <c r="B712" s="2"/>
      <c r="C712" s="2"/>
      <c r="D712" s="5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18"/>
      <c r="P7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2" s="44">
        <f>Tabla1[[#This Row],[Cantidad Realizada]]*Tabla1[[#This Row],[VxU]]</f>
        <v>0</v>
      </c>
    </row>
    <row r="713" spans="1:17" x14ac:dyDescent="0.25">
      <c r="A713" s="2"/>
      <c r="B713" s="2"/>
      <c r="C713" s="2"/>
      <c r="D713" s="5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18"/>
      <c r="P7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3" s="44">
        <f>Tabla1[[#This Row],[Cantidad Realizada]]*Tabla1[[#This Row],[VxU]]</f>
        <v>0</v>
      </c>
    </row>
    <row r="714" spans="1:17" x14ac:dyDescent="0.25">
      <c r="A714" s="2"/>
      <c r="B714" s="2"/>
      <c r="C714" s="2"/>
      <c r="D714" s="5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18"/>
      <c r="P71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4" s="44">
        <f>Tabla1[[#This Row],[Cantidad Realizada]]*Tabla1[[#This Row],[VxU]]</f>
        <v>0</v>
      </c>
    </row>
    <row r="715" spans="1:17" x14ac:dyDescent="0.25">
      <c r="A715" s="2"/>
      <c r="B715" s="2"/>
      <c r="C715" s="2"/>
      <c r="D715" s="5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18"/>
      <c r="P71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5" s="44">
        <f>Tabla1[[#This Row],[Cantidad Realizada]]*Tabla1[[#This Row],[VxU]]</f>
        <v>0</v>
      </c>
    </row>
    <row r="716" spans="1:17" x14ac:dyDescent="0.25">
      <c r="A716" s="2"/>
      <c r="B716" s="2"/>
      <c r="C716" s="2"/>
      <c r="D716" s="5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18"/>
      <c r="P71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6" s="44">
        <f>Tabla1[[#This Row],[Cantidad Realizada]]*Tabla1[[#This Row],[VxU]]</f>
        <v>0</v>
      </c>
    </row>
    <row r="717" spans="1:17" x14ac:dyDescent="0.25">
      <c r="A717" s="2"/>
      <c r="B717" s="2"/>
      <c r="C717" s="2"/>
      <c r="D717" s="5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18"/>
      <c r="P71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7" s="44">
        <f>Tabla1[[#This Row],[Cantidad Realizada]]*Tabla1[[#This Row],[VxU]]</f>
        <v>0</v>
      </c>
    </row>
    <row r="718" spans="1:17" x14ac:dyDescent="0.25">
      <c r="A718" s="2"/>
      <c r="B718" s="2"/>
      <c r="C718" s="2"/>
      <c r="D718" s="5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18"/>
      <c r="P71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8" s="44">
        <f>Tabla1[[#This Row],[Cantidad Realizada]]*Tabla1[[#This Row],[VxU]]</f>
        <v>0</v>
      </c>
    </row>
    <row r="719" spans="1:17" x14ac:dyDescent="0.25">
      <c r="A719" s="2"/>
      <c r="B719" s="2"/>
      <c r="C719" s="2"/>
      <c r="D719" s="5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18"/>
      <c r="P71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19" s="44">
        <f>Tabla1[[#This Row],[Cantidad Realizada]]*Tabla1[[#This Row],[VxU]]</f>
        <v>0</v>
      </c>
    </row>
    <row r="720" spans="1:17" x14ac:dyDescent="0.25">
      <c r="A720" s="2"/>
      <c r="B720" s="2"/>
      <c r="C720" s="2"/>
      <c r="D720" s="5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18"/>
      <c r="P72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0" s="44">
        <f>Tabla1[[#This Row],[Cantidad Realizada]]*Tabla1[[#This Row],[VxU]]</f>
        <v>0</v>
      </c>
    </row>
    <row r="721" spans="1:17" x14ac:dyDescent="0.25">
      <c r="A721" s="2"/>
      <c r="B721" s="2"/>
      <c r="C721" s="2"/>
      <c r="D721" s="5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18"/>
      <c r="P72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1" s="44">
        <f>Tabla1[[#This Row],[Cantidad Realizada]]*Tabla1[[#This Row],[VxU]]</f>
        <v>0</v>
      </c>
    </row>
    <row r="722" spans="1:17" x14ac:dyDescent="0.25">
      <c r="A722" s="2"/>
      <c r="B722" s="2"/>
      <c r="C722" s="2"/>
      <c r="D722" s="5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18"/>
      <c r="P72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2" s="44">
        <f>Tabla1[[#This Row],[Cantidad Realizada]]*Tabla1[[#This Row],[VxU]]</f>
        <v>0</v>
      </c>
    </row>
    <row r="723" spans="1:17" x14ac:dyDescent="0.25">
      <c r="A723" s="2"/>
      <c r="B723" s="2"/>
      <c r="C723" s="2"/>
      <c r="D723" s="5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18"/>
      <c r="P72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3" s="44">
        <f>Tabla1[[#This Row],[Cantidad Realizada]]*Tabla1[[#This Row],[VxU]]</f>
        <v>0</v>
      </c>
    </row>
    <row r="724" spans="1:17" x14ac:dyDescent="0.25">
      <c r="A724" s="2"/>
      <c r="B724" s="2"/>
      <c r="C724" s="2"/>
      <c r="D724" s="5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18"/>
      <c r="P72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4" s="44">
        <f>Tabla1[[#This Row],[Cantidad Realizada]]*Tabla1[[#This Row],[VxU]]</f>
        <v>0</v>
      </c>
    </row>
    <row r="725" spans="1:17" x14ac:dyDescent="0.25">
      <c r="A725" s="2"/>
      <c r="B725" s="2"/>
      <c r="C725" s="2"/>
      <c r="D725" s="5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18"/>
      <c r="P72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5" s="44">
        <f>Tabla1[[#This Row],[Cantidad Realizada]]*Tabla1[[#This Row],[VxU]]</f>
        <v>0</v>
      </c>
    </row>
    <row r="726" spans="1:17" x14ac:dyDescent="0.25">
      <c r="A726" s="2"/>
      <c r="B726" s="2"/>
      <c r="C726" s="2"/>
      <c r="D726" s="5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18"/>
      <c r="P72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6" s="44">
        <f>Tabla1[[#This Row],[Cantidad Realizada]]*Tabla1[[#This Row],[VxU]]</f>
        <v>0</v>
      </c>
    </row>
    <row r="727" spans="1:17" x14ac:dyDescent="0.25">
      <c r="A727" s="2"/>
      <c r="B727" s="2"/>
      <c r="C727" s="2"/>
      <c r="D727" s="5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18"/>
      <c r="P72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7" s="44">
        <f>Tabla1[[#This Row],[Cantidad Realizada]]*Tabla1[[#This Row],[VxU]]</f>
        <v>0</v>
      </c>
    </row>
    <row r="728" spans="1:17" x14ac:dyDescent="0.25">
      <c r="A728" s="2"/>
      <c r="B728" s="2"/>
      <c r="C728" s="2"/>
      <c r="D728" s="5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18"/>
      <c r="P72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8" s="44">
        <f>Tabla1[[#This Row],[Cantidad Realizada]]*Tabla1[[#This Row],[VxU]]</f>
        <v>0</v>
      </c>
    </row>
    <row r="729" spans="1:17" x14ac:dyDescent="0.25">
      <c r="A729" s="2"/>
      <c r="B729" s="2"/>
      <c r="C729" s="2"/>
      <c r="D729" s="5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18"/>
      <c r="P72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29" s="44">
        <f>Tabla1[[#This Row],[Cantidad Realizada]]*Tabla1[[#This Row],[VxU]]</f>
        <v>0</v>
      </c>
    </row>
    <row r="730" spans="1:17" x14ac:dyDescent="0.25">
      <c r="A730" s="2"/>
      <c r="B730" s="2"/>
      <c r="C730" s="2"/>
      <c r="D730" s="5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18"/>
      <c r="P73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0" s="44">
        <f>Tabla1[[#This Row],[Cantidad Realizada]]*Tabla1[[#This Row],[VxU]]</f>
        <v>0</v>
      </c>
    </row>
    <row r="731" spans="1:17" x14ac:dyDescent="0.25">
      <c r="A731" s="2"/>
      <c r="B731" s="2"/>
      <c r="C731" s="2"/>
      <c r="D731" s="5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18"/>
      <c r="P73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1" s="44">
        <f>Tabla1[[#This Row],[Cantidad Realizada]]*Tabla1[[#This Row],[VxU]]</f>
        <v>0</v>
      </c>
    </row>
    <row r="732" spans="1:17" x14ac:dyDescent="0.25">
      <c r="A732" s="2"/>
      <c r="B732" s="2"/>
      <c r="C732" s="2"/>
      <c r="D732" s="5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18"/>
      <c r="P73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2" s="44">
        <f>Tabla1[[#This Row],[Cantidad Realizada]]*Tabla1[[#This Row],[VxU]]</f>
        <v>0</v>
      </c>
    </row>
    <row r="733" spans="1:17" x14ac:dyDescent="0.25">
      <c r="A733" s="2"/>
      <c r="B733" s="2"/>
      <c r="C733" s="2"/>
      <c r="D733" s="5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18"/>
      <c r="P73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3" s="44">
        <f>Tabla1[[#This Row],[Cantidad Realizada]]*Tabla1[[#This Row],[VxU]]</f>
        <v>0</v>
      </c>
    </row>
    <row r="734" spans="1:17" x14ac:dyDescent="0.25">
      <c r="A734" s="2"/>
      <c r="B734" s="2"/>
      <c r="C734" s="2"/>
      <c r="D734" s="5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18"/>
      <c r="P73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4" s="44">
        <f>Tabla1[[#This Row],[Cantidad Realizada]]*Tabla1[[#This Row],[VxU]]</f>
        <v>0</v>
      </c>
    </row>
    <row r="735" spans="1:17" x14ac:dyDescent="0.25">
      <c r="A735" s="2"/>
      <c r="B735" s="2"/>
      <c r="C735" s="2"/>
      <c r="D735" s="5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18"/>
      <c r="P73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5" s="44">
        <f>Tabla1[[#This Row],[Cantidad Realizada]]*Tabla1[[#This Row],[VxU]]</f>
        <v>0</v>
      </c>
    </row>
    <row r="736" spans="1:17" x14ac:dyDescent="0.25">
      <c r="A736" s="2"/>
      <c r="B736" s="2"/>
      <c r="C736" s="2"/>
      <c r="D736" s="5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18"/>
      <c r="P73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6" s="44">
        <f>Tabla1[[#This Row],[Cantidad Realizada]]*Tabla1[[#This Row],[VxU]]</f>
        <v>0</v>
      </c>
    </row>
    <row r="737" spans="1:17" x14ac:dyDescent="0.25">
      <c r="A737" s="2"/>
      <c r="B737" s="2"/>
      <c r="C737" s="2"/>
      <c r="D737" s="5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18"/>
      <c r="P73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7" s="44">
        <f>Tabla1[[#This Row],[Cantidad Realizada]]*Tabla1[[#This Row],[VxU]]</f>
        <v>0</v>
      </c>
    </row>
    <row r="738" spans="1:17" x14ac:dyDescent="0.25">
      <c r="A738" s="2"/>
      <c r="B738" s="2"/>
      <c r="C738" s="2"/>
      <c r="D738" s="5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18"/>
      <c r="P73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8" s="44">
        <f>Tabla1[[#This Row],[Cantidad Realizada]]*Tabla1[[#This Row],[VxU]]</f>
        <v>0</v>
      </c>
    </row>
    <row r="739" spans="1:17" x14ac:dyDescent="0.25">
      <c r="A739" s="2"/>
      <c r="B739" s="2"/>
      <c r="C739" s="2"/>
      <c r="D739" s="5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18"/>
      <c r="P73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39" s="44">
        <f>Tabla1[[#This Row],[Cantidad Realizada]]*Tabla1[[#This Row],[VxU]]</f>
        <v>0</v>
      </c>
    </row>
    <row r="740" spans="1:17" x14ac:dyDescent="0.25">
      <c r="A740" s="2"/>
      <c r="B740" s="2"/>
      <c r="C740" s="2"/>
      <c r="D740" s="5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18"/>
      <c r="P74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0" s="44">
        <f>Tabla1[[#This Row],[Cantidad Realizada]]*Tabla1[[#This Row],[VxU]]</f>
        <v>0</v>
      </c>
    </row>
    <row r="741" spans="1:17" x14ac:dyDescent="0.25">
      <c r="A741" s="2"/>
      <c r="B741" s="2"/>
      <c r="C741" s="2"/>
      <c r="D741" s="5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18"/>
      <c r="P74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1" s="44">
        <f>Tabla1[[#This Row],[Cantidad Realizada]]*Tabla1[[#This Row],[VxU]]</f>
        <v>0</v>
      </c>
    </row>
    <row r="742" spans="1:17" x14ac:dyDescent="0.25">
      <c r="A742" s="2"/>
      <c r="B742" s="2"/>
      <c r="C742" s="2"/>
      <c r="D742" s="5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18"/>
      <c r="P74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2" s="44">
        <f>Tabla1[[#This Row],[Cantidad Realizada]]*Tabla1[[#This Row],[VxU]]</f>
        <v>0</v>
      </c>
    </row>
    <row r="743" spans="1:17" x14ac:dyDescent="0.25">
      <c r="A743" s="2"/>
      <c r="B743" s="2"/>
      <c r="C743" s="2"/>
      <c r="D743" s="5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18"/>
      <c r="P74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3" s="44">
        <f>Tabla1[[#This Row],[Cantidad Realizada]]*Tabla1[[#This Row],[VxU]]</f>
        <v>0</v>
      </c>
    </row>
    <row r="744" spans="1:17" x14ac:dyDescent="0.25">
      <c r="A744" s="2"/>
      <c r="B744" s="2"/>
      <c r="C744" s="2"/>
      <c r="D744" s="5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18"/>
      <c r="P74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4" s="44">
        <f>Tabla1[[#This Row],[Cantidad Realizada]]*Tabla1[[#This Row],[VxU]]</f>
        <v>0</v>
      </c>
    </row>
    <row r="745" spans="1:17" x14ac:dyDescent="0.25">
      <c r="A745" s="2"/>
      <c r="B745" s="2"/>
      <c r="C745" s="2"/>
      <c r="D745" s="5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18"/>
      <c r="P74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5" s="44">
        <f>Tabla1[[#This Row],[Cantidad Realizada]]*Tabla1[[#This Row],[VxU]]</f>
        <v>0</v>
      </c>
    </row>
    <row r="746" spans="1:17" x14ac:dyDescent="0.25">
      <c r="A746" s="2"/>
      <c r="B746" s="2"/>
      <c r="C746" s="2"/>
      <c r="D746" s="5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18"/>
      <c r="P74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6" s="44">
        <f>Tabla1[[#This Row],[Cantidad Realizada]]*Tabla1[[#This Row],[VxU]]</f>
        <v>0</v>
      </c>
    </row>
    <row r="747" spans="1:17" x14ac:dyDescent="0.25">
      <c r="A747" s="2"/>
      <c r="B747" s="2"/>
      <c r="C747" s="2"/>
      <c r="D747" s="5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18"/>
      <c r="P74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7" s="44">
        <f>Tabla1[[#This Row],[Cantidad Realizada]]*Tabla1[[#This Row],[VxU]]</f>
        <v>0</v>
      </c>
    </row>
    <row r="748" spans="1:17" x14ac:dyDescent="0.25">
      <c r="A748" s="2"/>
      <c r="B748" s="2"/>
      <c r="C748" s="2"/>
      <c r="D748" s="5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18"/>
      <c r="P74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8" s="44">
        <f>Tabla1[[#This Row],[Cantidad Realizada]]*Tabla1[[#This Row],[VxU]]</f>
        <v>0</v>
      </c>
    </row>
    <row r="749" spans="1:17" x14ac:dyDescent="0.25">
      <c r="A749" s="2"/>
      <c r="B749" s="2"/>
      <c r="C749" s="2"/>
      <c r="D749" s="5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18"/>
      <c r="P74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49" s="44">
        <f>Tabla1[[#This Row],[Cantidad Realizada]]*Tabla1[[#This Row],[VxU]]</f>
        <v>0</v>
      </c>
    </row>
    <row r="750" spans="1:17" x14ac:dyDescent="0.25">
      <c r="A750" s="2"/>
      <c r="B750" s="2"/>
      <c r="C750" s="2"/>
      <c r="D750" s="5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18"/>
      <c r="P75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0" s="44">
        <f>Tabla1[[#This Row],[Cantidad Realizada]]*Tabla1[[#This Row],[VxU]]</f>
        <v>0</v>
      </c>
    </row>
    <row r="751" spans="1:17" x14ac:dyDescent="0.25">
      <c r="A751" s="2"/>
      <c r="B751" s="2"/>
      <c r="C751" s="2"/>
      <c r="D751" s="5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18"/>
      <c r="P75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1" s="44">
        <f>Tabla1[[#This Row],[Cantidad Realizada]]*Tabla1[[#This Row],[VxU]]</f>
        <v>0</v>
      </c>
    </row>
    <row r="752" spans="1:17" x14ac:dyDescent="0.25">
      <c r="A752" s="2"/>
      <c r="B752" s="2"/>
      <c r="C752" s="2"/>
      <c r="D752" s="5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18"/>
      <c r="P75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2" s="44">
        <f>Tabla1[[#This Row],[Cantidad Realizada]]*Tabla1[[#This Row],[VxU]]</f>
        <v>0</v>
      </c>
    </row>
    <row r="753" spans="1:17" x14ac:dyDescent="0.25">
      <c r="A753" s="2"/>
      <c r="B753" s="2"/>
      <c r="C753" s="2"/>
      <c r="D753" s="5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18"/>
      <c r="P75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3" s="44">
        <f>Tabla1[[#This Row],[Cantidad Realizada]]*Tabla1[[#This Row],[VxU]]</f>
        <v>0</v>
      </c>
    </row>
    <row r="754" spans="1:17" x14ac:dyDescent="0.25">
      <c r="A754" s="2"/>
      <c r="B754" s="2"/>
      <c r="C754" s="2"/>
      <c r="D754" s="5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18"/>
      <c r="P75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4" s="44">
        <f>Tabla1[[#This Row],[Cantidad Realizada]]*Tabla1[[#This Row],[VxU]]</f>
        <v>0</v>
      </c>
    </row>
    <row r="755" spans="1:17" x14ac:dyDescent="0.25">
      <c r="A755" s="2"/>
      <c r="B755" s="2"/>
      <c r="C755" s="2"/>
      <c r="D755" s="5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18"/>
      <c r="P75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5" s="44">
        <f>Tabla1[[#This Row],[Cantidad Realizada]]*Tabla1[[#This Row],[VxU]]</f>
        <v>0</v>
      </c>
    </row>
    <row r="756" spans="1:17" x14ac:dyDescent="0.25">
      <c r="A756" s="2"/>
      <c r="B756" s="2"/>
      <c r="C756" s="2"/>
      <c r="D756" s="5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18"/>
      <c r="P75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6" s="44">
        <f>Tabla1[[#This Row],[Cantidad Realizada]]*Tabla1[[#This Row],[VxU]]</f>
        <v>0</v>
      </c>
    </row>
    <row r="757" spans="1:17" x14ac:dyDescent="0.25">
      <c r="A757" s="2"/>
      <c r="B757" s="2"/>
      <c r="C757" s="2"/>
      <c r="D757" s="5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18"/>
      <c r="P75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7" s="44">
        <f>Tabla1[[#This Row],[Cantidad Realizada]]*Tabla1[[#This Row],[VxU]]</f>
        <v>0</v>
      </c>
    </row>
    <row r="758" spans="1:17" x14ac:dyDescent="0.25">
      <c r="A758" s="2"/>
      <c r="B758" s="2"/>
      <c r="C758" s="2"/>
      <c r="D758" s="5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18"/>
      <c r="P75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8" s="44">
        <f>Tabla1[[#This Row],[Cantidad Realizada]]*Tabla1[[#This Row],[VxU]]</f>
        <v>0</v>
      </c>
    </row>
    <row r="759" spans="1:17" x14ac:dyDescent="0.25">
      <c r="A759" s="2"/>
      <c r="B759" s="2"/>
      <c r="C759" s="2"/>
      <c r="D759" s="5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18"/>
      <c r="P75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59" s="44">
        <f>Tabla1[[#This Row],[Cantidad Realizada]]*Tabla1[[#This Row],[VxU]]</f>
        <v>0</v>
      </c>
    </row>
    <row r="760" spans="1:17" x14ac:dyDescent="0.25">
      <c r="A760" s="2"/>
      <c r="B760" s="2"/>
      <c r="C760" s="2"/>
      <c r="D760" s="5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18"/>
      <c r="P76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0" s="44">
        <f>Tabla1[[#This Row],[Cantidad Realizada]]*Tabla1[[#This Row],[VxU]]</f>
        <v>0</v>
      </c>
    </row>
    <row r="761" spans="1:17" x14ac:dyDescent="0.25">
      <c r="A761" s="2"/>
      <c r="B761" s="2"/>
      <c r="C761" s="2"/>
      <c r="D761" s="5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18"/>
      <c r="P76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1" s="44">
        <f>Tabla1[[#This Row],[Cantidad Realizada]]*Tabla1[[#This Row],[VxU]]</f>
        <v>0</v>
      </c>
    </row>
    <row r="762" spans="1:17" x14ac:dyDescent="0.25">
      <c r="A762" s="2"/>
      <c r="B762" s="2"/>
      <c r="C762" s="2"/>
      <c r="D762" s="5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18"/>
      <c r="P76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2" s="44">
        <f>Tabla1[[#This Row],[Cantidad Realizada]]*Tabla1[[#This Row],[VxU]]</f>
        <v>0</v>
      </c>
    </row>
    <row r="763" spans="1:17" x14ac:dyDescent="0.25">
      <c r="A763" s="2"/>
      <c r="B763" s="2"/>
      <c r="C763" s="2"/>
      <c r="D763" s="5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18"/>
      <c r="P76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3" s="44">
        <f>Tabla1[[#This Row],[Cantidad Realizada]]*Tabla1[[#This Row],[VxU]]</f>
        <v>0</v>
      </c>
    </row>
    <row r="764" spans="1:17" x14ac:dyDescent="0.25">
      <c r="A764" s="2"/>
      <c r="B764" s="2"/>
      <c r="C764" s="2"/>
      <c r="D764" s="5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18"/>
      <c r="P76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4" s="44">
        <f>Tabla1[[#This Row],[Cantidad Realizada]]*Tabla1[[#This Row],[VxU]]</f>
        <v>0</v>
      </c>
    </row>
    <row r="765" spans="1:17" x14ac:dyDescent="0.25">
      <c r="A765" s="2"/>
      <c r="B765" s="2"/>
      <c r="C765" s="2"/>
      <c r="D765" s="5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18"/>
      <c r="P76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5" s="44">
        <f>Tabla1[[#This Row],[Cantidad Realizada]]*Tabla1[[#This Row],[VxU]]</f>
        <v>0</v>
      </c>
    </row>
    <row r="766" spans="1:17" x14ac:dyDescent="0.25">
      <c r="A766" s="2"/>
      <c r="B766" s="2"/>
      <c r="C766" s="2"/>
      <c r="D766" s="5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18"/>
      <c r="P76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6" s="44">
        <f>Tabla1[[#This Row],[Cantidad Realizada]]*Tabla1[[#This Row],[VxU]]</f>
        <v>0</v>
      </c>
    </row>
    <row r="767" spans="1:17" x14ac:dyDescent="0.25">
      <c r="A767" s="2"/>
      <c r="B767" s="2"/>
      <c r="C767" s="2"/>
      <c r="D767" s="5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18"/>
      <c r="P76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7" s="44">
        <f>Tabla1[[#This Row],[Cantidad Realizada]]*Tabla1[[#This Row],[VxU]]</f>
        <v>0</v>
      </c>
    </row>
    <row r="768" spans="1:17" x14ac:dyDescent="0.25">
      <c r="A768" s="2"/>
      <c r="B768" s="2"/>
      <c r="C768" s="2"/>
      <c r="D768" s="5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18"/>
      <c r="P76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8" s="44">
        <f>Tabla1[[#This Row],[Cantidad Realizada]]*Tabla1[[#This Row],[VxU]]</f>
        <v>0</v>
      </c>
    </row>
    <row r="769" spans="1:17" x14ac:dyDescent="0.25">
      <c r="A769" s="2"/>
      <c r="B769" s="2"/>
      <c r="C769" s="2"/>
      <c r="D769" s="5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18"/>
      <c r="P76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69" s="44">
        <f>Tabla1[[#This Row],[Cantidad Realizada]]*Tabla1[[#This Row],[VxU]]</f>
        <v>0</v>
      </c>
    </row>
    <row r="770" spans="1:17" x14ac:dyDescent="0.25">
      <c r="A770" s="38"/>
      <c r="B770" s="38"/>
      <c r="C770" s="38"/>
      <c r="D770" s="39"/>
      <c r="E770" s="39"/>
      <c r="F770" s="38"/>
      <c r="G770" s="38"/>
      <c r="H770" s="38"/>
      <c r="I770" s="38"/>
      <c r="J770" s="38"/>
      <c r="K770" s="38"/>
      <c r="L770" s="38"/>
      <c r="M770" s="38"/>
      <c r="N770" s="38"/>
      <c r="O770" s="40"/>
      <c r="P77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0" s="44">
        <f>Tabla1[[#This Row],[Cantidad Realizada]]*Tabla1[[#This Row],[VxU]]</f>
        <v>0</v>
      </c>
    </row>
    <row r="771" spans="1:17" x14ac:dyDescent="0.25">
      <c r="A771" s="2"/>
      <c r="B771" s="2"/>
      <c r="C771" s="2"/>
      <c r="D771" s="5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18"/>
      <c r="P77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1" s="44">
        <f>Tabla1[[#This Row],[Cantidad Realizada]]*Tabla1[[#This Row],[VxU]]</f>
        <v>0</v>
      </c>
    </row>
    <row r="772" spans="1:17" x14ac:dyDescent="0.25">
      <c r="A772" s="2"/>
      <c r="B772" s="2"/>
      <c r="C772" s="2"/>
      <c r="D772" s="5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18"/>
      <c r="P77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2" s="44">
        <f>Tabla1[[#This Row],[Cantidad Realizada]]*Tabla1[[#This Row],[VxU]]</f>
        <v>0</v>
      </c>
    </row>
    <row r="773" spans="1:17" x14ac:dyDescent="0.25">
      <c r="A773" s="2"/>
      <c r="B773" s="2"/>
      <c r="C773" s="2"/>
      <c r="D773" s="5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18"/>
      <c r="P77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3" s="44">
        <f>Tabla1[[#This Row],[Cantidad Realizada]]*Tabla1[[#This Row],[VxU]]</f>
        <v>0</v>
      </c>
    </row>
    <row r="774" spans="1:17" x14ac:dyDescent="0.25">
      <c r="A774" s="2"/>
      <c r="B774" s="2"/>
      <c r="C774" s="2"/>
      <c r="D774" s="5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18"/>
      <c r="P77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4" s="44">
        <f>Tabla1[[#This Row],[Cantidad Realizada]]*Tabla1[[#This Row],[VxU]]</f>
        <v>0</v>
      </c>
    </row>
    <row r="775" spans="1:17" x14ac:dyDescent="0.25">
      <c r="A775" s="2"/>
      <c r="B775" s="2"/>
      <c r="C775" s="2"/>
      <c r="D775" s="5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18"/>
      <c r="P77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5" s="44">
        <f>Tabla1[[#This Row],[Cantidad Realizada]]*Tabla1[[#This Row],[VxU]]</f>
        <v>0</v>
      </c>
    </row>
    <row r="776" spans="1:17" x14ac:dyDescent="0.25">
      <c r="A776" s="2"/>
      <c r="B776" s="2"/>
      <c r="C776" s="2"/>
      <c r="D776" s="5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18"/>
      <c r="P77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6" s="44">
        <f>Tabla1[[#This Row],[Cantidad Realizada]]*Tabla1[[#This Row],[VxU]]</f>
        <v>0</v>
      </c>
    </row>
    <row r="777" spans="1:17" x14ac:dyDescent="0.25">
      <c r="A777" s="2"/>
      <c r="B777" s="2"/>
      <c r="C777" s="2"/>
      <c r="D777" s="5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18"/>
      <c r="P77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7" s="44">
        <f>Tabla1[[#This Row],[Cantidad Realizada]]*Tabla1[[#This Row],[VxU]]</f>
        <v>0</v>
      </c>
    </row>
    <row r="778" spans="1:17" x14ac:dyDescent="0.25">
      <c r="A778" s="2"/>
      <c r="B778" s="2"/>
      <c r="C778" s="2"/>
      <c r="D778" s="5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18"/>
      <c r="P77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8" s="44">
        <f>Tabla1[[#This Row],[Cantidad Realizada]]*Tabla1[[#This Row],[VxU]]</f>
        <v>0</v>
      </c>
    </row>
    <row r="779" spans="1:17" x14ac:dyDescent="0.25">
      <c r="A779" s="2"/>
      <c r="B779" s="2"/>
      <c r="C779" s="2"/>
      <c r="D779" s="5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18"/>
      <c r="P77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79" s="44">
        <f>Tabla1[[#This Row],[Cantidad Realizada]]*Tabla1[[#This Row],[VxU]]</f>
        <v>0</v>
      </c>
    </row>
    <row r="780" spans="1:17" x14ac:dyDescent="0.25">
      <c r="A780" s="2"/>
      <c r="B780" s="2"/>
      <c r="C780" s="2"/>
      <c r="D780" s="5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18"/>
      <c r="P78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0" s="44">
        <f>Tabla1[[#This Row],[Cantidad Realizada]]*Tabla1[[#This Row],[VxU]]</f>
        <v>0</v>
      </c>
    </row>
    <row r="781" spans="1:17" x14ac:dyDescent="0.25">
      <c r="A781" s="2"/>
      <c r="B781" s="2"/>
      <c r="C781" s="2"/>
      <c r="D781" s="5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18"/>
      <c r="P78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1" s="44">
        <f>Tabla1[[#This Row],[Cantidad Realizada]]*Tabla1[[#This Row],[VxU]]</f>
        <v>0</v>
      </c>
    </row>
    <row r="782" spans="1:17" x14ac:dyDescent="0.25">
      <c r="A782" s="2"/>
      <c r="B782" s="2"/>
      <c r="C782" s="2"/>
      <c r="D782" s="5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18"/>
      <c r="P78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2" s="44">
        <f>Tabla1[[#This Row],[Cantidad Realizada]]*Tabla1[[#This Row],[VxU]]</f>
        <v>0</v>
      </c>
    </row>
    <row r="783" spans="1:17" x14ac:dyDescent="0.25">
      <c r="A783" s="2"/>
      <c r="B783" s="2"/>
      <c r="C783" s="2"/>
      <c r="D783" s="5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18"/>
      <c r="P78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3" s="44">
        <f>Tabla1[[#This Row],[Cantidad Realizada]]*Tabla1[[#This Row],[VxU]]</f>
        <v>0</v>
      </c>
    </row>
    <row r="784" spans="1:17" x14ac:dyDescent="0.25">
      <c r="A784" s="2"/>
      <c r="B784" s="2"/>
      <c r="C784" s="2"/>
      <c r="D784" s="5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18"/>
      <c r="P78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4" s="44">
        <f>Tabla1[[#This Row],[Cantidad Realizada]]*Tabla1[[#This Row],[VxU]]</f>
        <v>0</v>
      </c>
    </row>
    <row r="785" spans="1:17" x14ac:dyDescent="0.25">
      <c r="A785" s="2"/>
      <c r="B785" s="2"/>
      <c r="C785" s="2"/>
      <c r="D785" s="5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18"/>
      <c r="P78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5" s="44">
        <f>Tabla1[[#This Row],[Cantidad Realizada]]*Tabla1[[#This Row],[VxU]]</f>
        <v>0</v>
      </c>
    </row>
    <row r="786" spans="1:17" x14ac:dyDescent="0.25">
      <c r="A786" s="2"/>
      <c r="B786" s="2"/>
      <c r="C786" s="2"/>
      <c r="D786" s="5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18"/>
      <c r="P78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6" s="44">
        <f>Tabla1[[#This Row],[Cantidad Realizada]]*Tabla1[[#This Row],[VxU]]</f>
        <v>0</v>
      </c>
    </row>
    <row r="787" spans="1:17" x14ac:dyDescent="0.25">
      <c r="A787" s="2"/>
      <c r="B787" s="2"/>
      <c r="C787" s="2"/>
      <c r="D787" s="5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18"/>
      <c r="P78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7" s="44">
        <f>Tabla1[[#This Row],[Cantidad Realizada]]*Tabla1[[#This Row],[VxU]]</f>
        <v>0</v>
      </c>
    </row>
    <row r="788" spans="1:17" x14ac:dyDescent="0.25">
      <c r="A788" s="2"/>
      <c r="B788" s="2"/>
      <c r="C788" s="2"/>
      <c r="D788" s="5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18"/>
      <c r="P78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8" s="44">
        <f>Tabla1[[#This Row],[Cantidad Realizada]]*Tabla1[[#This Row],[VxU]]</f>
        <v>0</v>
      </c>
    </row>
    <row r="789" spans="1:17" x14ac:dyDescent="0.25">
      <c r="A789" s="2"/>
      <c r="B789" s="2"/>
      <c r="C789" s="2"/>
      <c r="D789" s="5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18"/>
      <c r="P78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89" s="44">
        <f>Tabla1[[#This Row],[Cantidad Realizada]]*Tabla1[[#This Row],[VxU]]</f>
        <v>0</v>
      </c>
    </row>
    <row r="790" spans="1:17" x14ac:dyDescent="0.25">
      <c r="A790" s="2"/>
      <c r="B790" s="2"/>
      <c r="C790" s="2"/>
      <c r="D790" s="5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18"/>
      <c r="P79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0" s="44">
        <f>Tabla1[[#This Row],[Cantidad Realizada]]*Tabla1[[#This Row],[VxU]]</f>
        <v>0</v>
      </c>
    </row>
    <row r="791" spans="1:17" x14ac:dyDescent="0.25">
      <c r="A791" s="2"/>
      <c r="B791" s="2"/>
      <c r="C791" s="2"/>
      <c r="D791" s="5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18"/>
      <c r="P79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1" s="44">
        <f>Tabla1[[#This Row],[Cantidad Realizada]]*Tabla1[[#This Row],[VxU]]</f>
        <v>0</v>
      </c>
    </row>
    <row r="792" spans="1:17" x14ac:dyDescent="0.25">
      <c r="A792" s="2"/>
      <c r="B792" s="2"/>
      <c r="C792" s="2"/>
      <c r="D792" s="5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18"/>
      <c r="P79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2" s="44">
        <f>Tabla1[[#This Row],[Cantidad Realizada]]*Tabla1[[#This Row],[VxU]]</f>
        <v>0</v>
      </c>
    </row>
    <row r="793" spans="1:17" x14ac:dyDescent="0.25">
      <c r="A793" s="2"/>
      <c r="B793" s="2"/>
      <c r="C793" s="2"/>
      <c r="D793" s="5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18"/>
      <c r="P79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3" s="44">
        <f>Tabla1[[#This Row],[Cantidad Realizada]]*Tabla1[[#This Row],[VxU]]</f>
        <v>0</v>
      </c>
    </row>
    <row r="794" spans="1:17" x14ac:dyDescent="0.25">
      <c r="A794" s="2"/>
      <c r="B794" s="2"/>
      <c r="C794" s="2"/>
      <c r="D794" s="5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18"/>
      <c r="P79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4" s="44">
        <f>Tabla1[[#This Row],[Cantidad Realizada]]*Tabla1[[#This Row],[VxU]]</f>
        <v>0</v>
      </c>
    </row>
    <row r="795" spans="1:17" x14ac:dyDescent="0.25">
      <c r="A795" s="2"/>
      <c r="B795" s="2"/>
      <c r="C795" s="2"/>
      <c r="D795" s="5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18"/>
      <c r="P79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5" s="44">
        <f>Tabla1[[#This Row],[Cantidad Realizada]]*Tabla1[[#This Row],[VxU]]</f>
        <v>0</v>
      </c>
    </row>
    <row r="796" spans="1:17" x14ac:dyDescent="0.25">
      <c r="A796" s="2"/>
      <c r="B796" s="2"/>
      <c r="C796" s="2"/>
      <c r="D796" s="5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18"/>
      <c r="P79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6" s="44">
        <f>Tabla1[[#This Row],[Cantidad Realizada]]*Tabla1[[#This Row],[VxU]]</f>
        <v>0</v>
      </c>
    </row>
    <row r="797" spans="1:17" x14ac:dyDescent="0.25">
      <c r="A797" s="2"/>
      <c r="B797" s="2"/>
      <c r="C797" s="2"/>
      <c r="D797" s="5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18"/>
      <c r="P79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7" s="44">
        <f>Tabla1[[#This Row],[Cantidad Realizada]]*Tabla1[[#This Row],[VxU]]</f>
        <v>0</v>
      </c>
    </row>
    <row r="798" spans="1:17" x14ac:dyDescent="0.25">
      <c r="A798" s="2"/>
      <c r="B798" s="2"/>
      <c r="C798" s="2"/>
      <c r="D798" s="5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18"/>
      <c r="P79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8" s="44">
        <f>Tabla1[[#This Row],[Cantidad Realizada]]*Tabla1[[#This Row],[VxU]]</f>
        <v>0</v>
      </c>
    </row>
    <row r="799" spans="1:17" x14ac:dyDescent="0.25">
      <c r="A799" s="2"/>
      <c r="B799" s="2"/>
      <c r="C799" s="2"/>
      <c r="D799" s="5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18"/>
      <c r="P79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799" s="44">
        <f>Tabla1[[#This Row],[Cantidad Realizada]]*Tabla1[[#This Row],[VxU]]</f>
        <v>0</v>
      </c>
    </row>
    <row r="800" spans="1:17" x14ac:dyDescent="0.25">
      <c r="A800" s="2"/>
      <c r="B800" s="2"/>
      <c r="C800" s="2"/>
      <c r="D800" s="5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18"/>
      <c r="P80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0" s="44">
        <f>Tabla1[[#This Row],[Cantidad Realizada]]*Tabla1[[#This Row],[VxU]]</f>
        <v>0</v>
      </c>
    </row>
    <row r="801" spans="1:17" x14ac:dyDescent="0.25">
      <c r="A801" s="2"/>
      <c r="B801" s="2"/>
      <c r="C801" s="2"/>
      <c r="D801" s="5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18"/>
      <c r="P80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1" s="44">
        <f>Tabla1[[#This Row],[Cantidad Realizada]]*Tabla1[[#This Row],[VxU]]</f>
        <v>0</v>
      </c>
    </row>
    <row r="802" spans="1:17" x14ac:dyDescent="0.25">
      <c r="A802" s="2"/>
      <c r="B802" s="2"/>
      <c r="C802" s="2"/>
      <c r="D802" s="5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18"/>
      <c r="P80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2" s="44">
        <f>Tabla1[[#This Row],[Cantidad Realizada]]*Tabla1[[#This Row],[VxU]]</f>
        <v>0</v>
      </c>
    </row>
    <row r="803" spans="1:17" x14ac:dyDescent="0.25">
      <c r="A803" s="2"/>
      <c r="B803" s="2"/>
      <c r="C803" s="2"/>
      <c r="D803" s="5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18"/>
      <c r="P80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3" s="44">
        <f>Tabla1[[#This Row],[Cantidad Realizada]]*Tabla1[[#This Row],[VxU]]</f>
        <v>0</v>
      </c>
    </row>
    <row r="804" spans="1:17" x14ac:dyDescent="0.25">
      <c r="A804" s="2"/>
      <c r="B804" s="2"/>
      <c r="C804" s="2"/>
      <c r="D804" s="5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18"/>
      <c r="P804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4" s="44">
        <f>Tabla1[[#This Row],[Cantidad Realizada]]*Tabla1[[#This Row],[VxU]]</f>
        <v>0</v>
      </c>
    </row>
    <row r="805" spans="1:17" x14ac:dyDescent="0.25">
      <c r="A805" s="2"/>
      <c r="B805" s="2"/>
      <c r="C805" s="2"/>
      <c r="D805" s="5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18"/>
      <c r="P805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5" s="44">
        <f>Tabla1[[#This Row],[Cantidad Realizada]]*Tabla1[[#This Row],[VxU]]</f>
        <v>0</v>
      </c>
    </row>
    <row r="806" spans="1:17" x14ac:dyDescent="0.25">
      <c r="A806" s="2"/>
      <c r="B806" s="2"/>
      <c r="C806" s="2"/>
      <c r="D806" s="5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18"/>
      <c r="P806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6" s="44">
        <f>Tabla1[[#This Row],[Cantidad Realizada]]*Tabla1[[#This Row],[VxU]]</f>
        <v>0</v>
      </c>
    </row>
    <row r="807" spans="1:17" x14ac:dyDescent="0.25">
      <c r="A807" s="2"/>
      <c r="B807" s="2"/>
      <c r="C807" s="2"/>
      <c r="D807" s="5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18"/>
      <c r="P807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7" s="44">
        <f>Tabla1[[#This Row],[Cantidad Realizada]]*Tabla1[[#This Row],[VxU]]</f>
        <v>0</v>
      </c>
    </row>
    <row r="808" spans="1:17" x14ac:dyDescent="0.25">
      <c r="A808" s="2"/>
      <c r="B808" s="2"/>
      <c r="C808" s="2"/>
      <c r="D808" s="5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18"/>
      <c r="P808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8" s="44">
        <f>Tabla1[[#This Row],[Cantidad Realizada]]*Tabla1[[#This Row],[VxU]]</f>
        <v>0</v>
      </c>
    </row>
    <row r="809" spans="1:17" x14ac:dyDescent="0.25">
      <c r="A809" s="2"/>
      <c r="B809" s="2"/>
      <c r="C809" s="2"/>
      <c r="D809" s="5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18"/>
      <c r="P809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09" s="44">
        <f>Tabla1[[#This Row],[Cantidad Realizada]]*Tabla1[[#This Row],[VxU]]</f>
        <v>0</v>
      </c>
    </row>
    <row r="810" spans="1:17" x14ac:dyDescent="0.25">
      <c r="A810" s="2"/>
      <c r="B810" s="2"/>
      <c r="C810" s="2"/>
      <c r="D810" s="5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18"/>
      <c r="P810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10" s="44">
        <f>Tabla1[[#This Row],[Cantidad Realizada]]*Tabla1[[#This Row],[VxU]]</f>
        <v>0</v>
      </c>
    </row>
    <row r="811" spans="1:17" x14ac:dyDescent="0.25">
      <c r="A811" s="2"/>
      <c r="B811" s="2"/>
      <c r="C811" s="2"/>
      <c r="D811" s="5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18"/>
      <c r="P811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11" s="44">
        <f>Tabla1[[#This Row],[Cantidad Realizada]]*Tabla1[[#This Row],[VxU]]</f>
        <v>0</v>
      </c>
    </row>
    <row r="812" spans="1:17" x14ac:dyDescent="0.25">
      <c r="A812" s="38"/>
      <c r="B812" s="38"/>
      <c r="C812" s="38"/>
      <c r="D812" s="39"/>
      <c r="E812" s="39"/>
      <c r="F812" s="38"/>
      <c r="G812" s="38"/>
      <c r="H812" s="38"/>
      <c r="I812" s="38"/>
      <c r="J812" s="38"/>
      <c r="K812" s="38"/>
      <c r="L812" s="38"/>
      <c r="M812" s="38"/>
      <c r="N812" s="38"/>
      <c r="O812" s="40"/>
      <c r="P812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12" s="44">
        <f>Tabla1[[#This Row],[Cantidad Realizada]]*Tabla1[[#This Row],[VxU]]</f>
        <v>0</v>
      </c>
    </row>
    <row r="813" spans="1:17" x14ac:dyDescent="0.25">
      <c r="A813" s="41"/>
      <c r="B813" s="41"/>
      <c r="C813" s="41"/>
      <c r="D813" s="42"/>
      <c r="E813" s="42"/>
      <c r="F813" s="41"/>
      <c r="G813" s="41"/>
      <c r="H813" s="41"/>
      <c r="I813" s="41"/>
      <c r="J813" s="41"/>
      <c r="K813" s="41"/>
      <c r="L813" s="41"/>
      <c r="M813" s="41"/>
      <c r="N813" s="41"/>
      <c r="O813" s="43"/>
      <c r="P813" s="3">
        <f>IF(AND(Tabla1[[#This Row],[Pto.tbjo.responsable]]="",Tabla1[[#This Row],[Clave de Modelo]]&lt;&gt;""),VLOOKUP(Tabla1[[#This Row],[Clave de Modelo]],Preciario!$D$1:$Z$176,MATCH($H$2,Preciario!$D$1:$Z$1,0),FALSE),0)</f>
        <v>0</v>
      </c>
      <c r="Q813" s="44">
        <f>Tabla1[[#This Row],[Cantidad Realizada]]*Tabla1[[#This Row],[VxU]]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sqref="A1:E25"/>
    </sheetView>
  </sheetViews>
  <sheetFormatPr baseColWidth="10" defaultColWidth="11.42578125" defaultRowHeight="15" x14ac:dyDescent="0.25"/>
  <sheetData>
    <row r="1" spans="1:5" x14ac:dyDescent="0.25">
      <c r="A1" t="s">
        <v>231</v>
      </c>
      <c r="B1" t="s">
        <v>232</v>
      </c>
      <c r="C1" t="s">
        <v>233</v>
      </c>
      <c r="D1" t="s">
        <v>234</v>
      </c>
    </row>
    <row r="2" spans="1:5" x14ac:dyDescent="0.25">
      <c r="A2" t="s">
        <v>235</v>
      </c>
      <c r="B2" t="s">
        <v>236</v>
      </c>
      <c r="C2" t="s">
        <v>237</v>
      </c>
      <c r="D2" t="s">
        <v>144</v>
      </c>
      <c r="E2" t="s">
        <v>237</v>
      </c>
    </row>
    <row r="3" spans="1:5" x14ac:dyDescent="0.25">
      <c r="A3" t="s">
        <v>238</v>
      </c>
      <c r="B3" t="s">
        <v>239</v>
      </c>
      <c r="C3" t="s">
        <v>240</v>
      </c>
      <c r="D3" t="s">
        <v>149</v>
      </c>
      <c r="E3" t="s">
        <v>240</v>
      </c>
    </row>
    <row r="4" spans="1:5" x14ac:dyDescent="0.25">
      <c r="A4" t="s">
        <v>241</v>
      </c>
      <c r="B4" t="s">
        <v>242</v>
      </c>
      <c r="C4" t="s">
        <v>243</v>
      </c>
      <c r="D4" t="s">
        <v>167</v>
      </c>
      <c r="E4" t="s">
        <v>243</v>
      </c>
    </row>
    <row r="5" spans="1:5" x14ac:dyDescent="0.25">
      <c r="A5" t="s">
        <v>244</v>
      </c>
      <c r="B5" t="s">
        <v>245</v>
      </c>
      <c r="C5" t="s">
        <v>246</v>
      </c>
      <c r="D5" t="s">
        <v>168</v>
      </c>
      <c r="E5" t="s">
        <v>246</v>
      </c>
    </row>
    <row r="6" spans="1:5" x14ac:dyDescent="0.25">
      <c r="A6" t="s">
        <v>247</v>
      </c>
      <c r="B6" t="s">
        <v>248</v>
      </c>
      <c r="C6" t="s">
        <v>249</v>
      </c>
      <c r="D6" t="s">
        <v>146</v>
      </c>
      <c r="E6" t="s">
        <v>249</v>
      </c>
    </row>
    <row r="7" spans="1:5" x14ac:dyDescent="0.25">
      <c r="A7" t="s">
        <v>250</v>
      </c>
      <c r="B7" t="s">
        <v>251</v>
      </c>
      <c r="C7" t="s">
        <v>252</v>
      </c>
      <c r="D7" t="s">
        <v>145</v>
      </c>
      <c r="E7" t="s">
        <v>252</v>
      </c>
    </row>
    <row r="8" spans="1:5" x14ac:dyDescent="0.25">
      <c r="A8" t="s">
        <v>253</v>
      </c>
      <c r="B8" t="s">
        <v>254</v>
      </c>
      <c r="C8" t="s">
        <v>255</v>
      </c>
      <c r="D8" t="s">
        <v>169</v>
      </c>
      <c r="E8" t="s">
        <v>255</v>
      </c>
    </row>
    <row r="9" spans="1:5" x14ac:dyDescent="0.25">
      <c r="A9" t="s">
        <v>256</v>
      </c>
      <c r="B9" t="s">
        <v>257</v>
      </c>
      <c r="C9" t="s">
        <v>258</v>
      </c>
      <c r="D9" t="s">
        <v>147</v>
      </c>
      <c r="E9" t="s">
        <v>258</v>
      </c>
    </row>
    <row r="10" spans="1:5" x14ac:dyDescent="0.25">
      <c r="A10" t="s">
        <v>259</v>
      </c>
      <c r="B10" t="s">
        <v>260</v>
      </c>
      <c r="C10" t="s">
        <v>261</v>
      </c>
      <c r="D10" t="s">
        <v>148</v>
      </c>
      <c r="E10" t="s">
        <v>261</v>
      </c>
    </row>
    <row r="11" spans="1:5" x14ac:dyDescent="0.25">
      <c r="A11" t="s">
        <v>262</v>
      </c>
      <c r="B11" t="s">
        <v>263</v>
      </c>
      <c r="C11" t="s">
        <v>264</v>
      </c>
      <c r="D11" t="s">
        <v>154</v>
      </c>
      <c r="E11" t="s">
        <v>264</v>
      </c>
    </row>
    <row r="12" spans="1:5" x14ac:dyDescent="0.25">
      <c r="A12" t="s">
        <v>265</v>
      </c>
      <c r="B12" t="s">
        <v>266</v>
      </c>
      <c r="C12" t="s">
        <v>267</v>
      </c>
      <c r="D12" t="s">
        <v>163</v>
      </c>
      <c r="E12" t="s">
        <v>267</v>
      </c>
    </row>
    <row r="13" spans="1:5" x14ac:dyDescent="0.25">
      <c r="A13" t="s">
        <v>268</v>
      </c>
      <c r="B13" t="s">
        <v>269</v>
      </c>
      <c r="C13" t="s">
        <v>270</v>
      </c>
      <c r="D13" t="s">
        <v>162</v>
      </c>
      <c r="E13" t="s">
        <v>270</v>
      </c>
    </row>
    <row r="14" spans="1:5" x14ac:dyDescent="0.25">
      <c r="A14" t="s">
        <v>271</v>
      </c>
      <c r="B14" t="s">
        <v>266</v>
      </c>
      <c r="C14" t="s">
        <v>272</v>
      </c>
      <c r="D14" t="s">
        <v>170</v>
      </c>
      <c r="E14" t="s">
        <v>272</v>
      </c>
    </row>
    <row r="15" spans="1:5" x14ac:dyDescent="0.25">
      <c r="A15" t="s">
        <v>273</v>
      </c>
      <c r="B15" t="s">
        <v>263</v>
      </c>
      <c r="C15" t="s">
        <v>274</v>
      </c>
      <c r="D15" t="s">
        <v>151</v>
      </c>
      <c r="E15" t="s">
        <v>274</v>
      </c>
    </row>
    <row r="16" spans="1:5" x14ac:dyDescent="0.25">
      <c r="A16" t="s">
        <v>275</v>
      </c>
      <c r="B16" t="s">
        <v>276</v>
      </c>
      <c r="C16" t="s">
        <v>277</v>
      </c>
      <c r="D16" t="s">
        <v>156</v>
      </c>
      <c r="E16" t="s">
        <v>277</v>
      </c>
    </row>
    <row r="17" spans="1:5" x14ac:dyDescent="0.25">
      <c r="A17" t="s">
        <v>278</v>
      </c>
      <c r="B17" t="s">
        <v>279</v>
      </c>
      <c r="C17" t="s">
        <v>280</v>
      </c>
      <c r="D17" t="s">
        <v>150</v>
      </c>
      <c r="E17" t="s">
        <v>280</v>
      </c>
    </row>
    <row r="18" spans="1:5" x14ac:dyDescent="0.25">
      <c r="A18" t="s">
        <v>281</v>
      </c>
      <c r="B18" t="s">
        <v>282</v>
      </c>
      <c r="C18" t="s">
        <v>283</v>
      </c>
      <c r="D18" t="s">
        <v>159</v>
      </c>
      <c r="E18" t="s">
        <v>283</v>
      </c>
    </row>
    <row r="19" spans="1:5" x14ac:dyDescent="0.25">
      <c r="A19" t="s">
        <v>284</v>
      </c>
      <c r="B19" t="s">
        <v>285</v>
      </c>
      <c r="C19" t="s">
        <v>286</v>
      </c>
      <c r="D19" t="s">
        <v>158</v>
      </c>
      <c r="E19" t="s">
        <v>286</v>
      </c>
    </row>
    <row r="20" spans="1:5" x14ac:dyDescent="0.25">
      <c r="A20" t="s">
        <v>287</v>
      </c>
      <c r="B20" t="s">
        <v>288</v>
      </c>
      <c r="C20" t="s">
        <v>289</v>
      </c>
      <c r="D20" t="s">
        <v>161</v>
      </c>
      <c r="E20" t="s">
        <v>289</v>
      </c>
    </row>
    <row r="21" spans="1:5" x14ac:dyDescent="0.25">
      <c r="A21" t="s">
        <v>290</v>
      </c>
      <c r="B21" t="s">
        <v>291</v>
      </c>
      <c r="C21" t="s">
        <v>292</v>
      </c>
      <c r="D21" t="s">
        <v>157</v>
      </c>
      <c r="E21" t="s">
        <v>292</v>
      </c>
    </row>
    <row r="22" spans="1:5" x14ac:dyDescent="0.25">
      <c r="A22" t="s">
        <v>293</v>
      </c>
      <c r="B22" t="s">
        <v>294</v>
      </c>
      <c r="C22" t="s">
        <v>295</v>
      </c>
      <c r="D22" t="s">
        <v>155</v>
      </c>
      <c r="E22" t="s">
        <v>295</v>
      </c>
    </row>
    <row r="23" spans="1:5" x14ac:dyDescent="0.25">
      <c r="A23" t="s">
        <v>296</v>
      </c>
      <c r="B23" t="s">
        <v>297</v>
      </c>
      <c r="C23" t="s">
        <v>298</v>
      </c>
      <c r="D23" t="s">
        <v>152</v>
      </c>
      <c r="E23" t="s">
        <v>298</v>
      </c>
    </row>
    <row r="24" spans="1:5" x14ac:dyDescent="0.25">
      <c r="A24" t="s">
        <v>299</v>
      </c>
      <c r="B24" t="s">
        <v>300</v>
      </c>
      <c r="C24" t="s">
        <v>301</v>
      </c>
      <c r="D24" t="s">
        <v>160</v>
      </c>
      <c r="E24" t="s">
        <v>301</v>
      </c>
    </row>
    <row r="25" spans="1:5" x14ac:dyDescent="0.25">
      <c r="A25" t="s">
        <v>302</v>
      </c>
      <c r="B25" t="s">
        <v>303</v>
      </c>
      <c r="C25" t="s">
        <v>304</v>
      </c>
      <c r="D25" t="s">
        <v>153</v>
      </c>
      <c r="E25" t="s">
        <v>304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76"/>
  <sheetViews>
    <sheetView zoomScaleNormal="100" workbookViewId="0">
      <pane xSplit="2" ySplit="1" topLeftCell="O146" activePane="bottomRight" state="frozen"/>
      <selection pane="topRight" activeCell="C1" sqref="C1"/>
      <selection pane="bottomLeft" activeCell="A2" sqref="A2"/>
      <selection pane="bottomRight" activeCell="O118" sqref="O118"/>
    </sheetView>
  </sheetViews>
  <sheetFormatPr baseColWidth="10" defaultColWidth="11.42578125" defaultRowHeight="15" x14ac:dyDescent="0.25"/>
  <cols>
    <col min="1" max="1" width="8.7109375" bestFit="1" customWidth="1"/>
    <col min="2" max="2" width="58.140625" customWidth="1"/>
    <col min="3" max="3" width="4.42578125" customWidth="1"/>
    <col min="4" max="4" width="13.140625" bestFit="1" customWidth="1"/>
    <col min="5" max="6" width="12.7109375" bestFit="1" customWidth="1"/>
    <col min="7" max="12" width="12.7109375" customWidth="1"/>
    <col min="13" max="26" width="12.7109375" bestFit="1" customWidth="1"/>
  </cols>
  <sheetData>
    <row r="1" spans="1:35" ht="29.25" customHeight="1" x14ac:dyDescent="0.25">
      <c r="A1" s="23" t="s">
        <v>587</v>
      </c>
      <c r="B1" s="24" t="s">
        <v>165</v>
      </c>
      <c r="C1" s="25"/>
      <c r="D1" s="24" t="s">
        <v>164</v>
      </c>
      <c r="E1" s="26" t="s">
        <v>588</v>
      </c>
      <c r="F1" s="26" t="s">
        <v>589</v>
      </c>
      <c r="G1" s="26" t="s">
        <v>590</v>
      </c>
      <c r="H1" s="26" t="s">
        <v>591</v>
      </c>
      <c r="I1" s="26" t="s">
        <v>592</v>
      </c>
      <c r="J1" s="26" t="s">
        <v>593</v>
      </c>
      <c r="K1" s="26" t="s">
        <v>594</v>
      </c>
      <c r="L1" s="26" t="s">
        <v>595</v>
      </c>
      <c r="M1" s="26" t="s">
        <v>596</v>
      </c>
      <c r="N1" s="26" t="s">
        <v>597</v>
      </c>
      <c r="O1" s="26" t="s">
        <v>598</v>
      </c>
      <c r="P1" s="26" t="s">
        <v>599</v>
      </c>
      <c r="Q1" s="26" t="s">
        <v>600</v>
      </c>
      <c r="R1" s="26" t="s">
        <v>601</v>
      </c>
      <c r="S1" s="26" t="s">
        <v>602</v>
      </c>
      <c r="T1" s="26" t="s">
        <v>603</v>
      </c>
      <c r="U1" s="26" t="s">
        <v>604</v>
      </c>
      <c r="V1" s="26" t="s">
        <v>605</v>
      </c>
      <c r="W1" s="26" t="s">
        <v>606</v>
      </c>
      <c r="X1" s="26" t="s">
        <v>607</v>
      </c>
      <c r="Y1" s="26" t="s">
        <v>608</v>
      </c>
      <c r="Z1" s="34" t="s">
        <v>609</v>
      </c>
    </row>
    <row r="2" spans="1:35" x14ac:dyDescent="0.25">
      <c r="A2" s="27" t="s">
        <v>0</v>
      </c>
      <c r="B2" s="28" t="s">
        <v>1</v>
      </c>
      <c r="C2" s="29" t="s">
        <v>2</v>
      </c>
      <c r="D2" s="28" t="s">
        <v>316</v>
      </c>
      <c r="E2" s="30">
        <v>5507.22</v>
      </c>
      <c r="F2" s="30">
        <v>5509</v>
      </c>
      <c r="G2" s="30">
        <v>5507.23</v>
      </c>
      <c r="H2" s="30">
        <v>5507.31</v>
      </c>
      <c r="I2" s="30">
        <v>5509</v>
      </c>
      <c r="J2" s="30">
        <v>5508.02</v>
      </c>
      <c r="K2" s="30">
        <v>5588.4</v>
      </c>
      <c r="L2" s="30">
        <v>5508.69</v>
      </c>
      <c r="M2" s="30"/>
      <c r="N2" s="30"/>
      <c r="O2" s="30"/>
      <c r="P2" s="30"/>
      <c r="Q2" s="30"/>
      <c r="R2" s="30"/>
      <c r="S2" s="29"/>
      <c r="T2" s="30"/>
      <c r="U2" s="30"/>
      <c r="V2" s="30"/>
      <c r="W2" s="30"/>
      <c r="X2" s="30"/>
      <c r="Y2" s="30"/>
      <c r="Z2" s="35"/>
      <c r="AA2" s="10"/>
      <c r="AB2" s="10"/>
      <c r="AC2" s="10"/>
      <c r="AD2" s="10"/>
      <c r="AE2" s="10"/>
      <c r="AF2" s="10"/>
      <c r="AG2" s="10"/>
      <c r="AH2" s="10"/>
      <c r="AI2" s="10"/>
    </row>
    <row r="3" spans="1:35" x14ac:dyDescent="0.25">
      <c r="A3" s="27" t="s">
        <v>3</v>
      </c>
      <c r="B3" s="28" t="s">
        <v>171</v>
      </c>
      <c r="C3" s="29" t="s">
        <v>4</v>
      </c>
      <c r="D3" s="28" t="s">
        <v>317</v>
      </c>
      <c r="E3" s="30">
        <v>2944.38</v>
      </c>
      <c r="F3" s="30">
        <v>2953.16</v>
      </c>
      <c r="G3" s="30">
        <v>2944.41</v>
      </c>
      <c r="H3" s="30">
        <v>2944.44</v>
      </c>
      <c r="I3" s="30">
        <v>2944.89</v>
      </c>
      <c r="J3" s="30">
        <v>2947.13</v>
      </c>
      <c r="K3" s="30">
        <v>2951.74</v>
      </c>
      <c r="L3" s="30">
        <v>2945.71</v>
      </c>
      <c r="M3" s="30"/>
      <c r="N3" s="30"/>
      <c r="O3" s="30"/>
      <c r="P3" s="30"/>
      <c r="Q3" s="30"/>
      <c r="R3" s="30"/>
      <c r="S3" s="29"/>
      <c r="T3" s="30"/>
      <c r="U3" s="30"/>
      <c r="V3" s="30"/>
      <c r="W3" s="30"/>
      <c r="X3" s="30"/>
      <c r="Y3" s="30"/>
      <c r="Z3" s="35"/>
      <c r="AA3" s="10"/>
      <c r="AB3" s="10"/>
      <c r="AC3" s="10"/>
      <c r="AD3" s="10"/>
      <c r="AE3" s="10"/>
      <c r="AF3" s="10"/>
      <c r="AG3" s="10"/>
      <c r="AH3" s="10"/>
      <c r="AI3" s="10"/>
    </row>
    <row r="4" spans="1:35" x14ac:dyDescent="0.25">
      <c r="A4" s="27" t="s">
        <v>5</v>
      </c>
      <c r="B4" s="28" t="s">
        <v>172</v>
      </c>
      <c r="C4" s="29" t="s">
        <v>4</v>
      </c>
      <c r="D4" s="28" t="s">
        <v>318</v>
      </c>
      <c r="E4" s="30">
        <v>4112.21</v>
      </c>
      <c r="F4" s="30">
        <v>4113.51</v>
      </c>
      <c r="G4" s="30">
        <v>4112.2299999999996</v>
      </c>
      <c r="H4" s="30">
        <v>4112.25</v>
      </c>
      <c r="I4" s="30">
        <v>4113.51</v>
      </c>
      <c r="J4" s="30">
        <v>6145.91</v>
      </c>
      <c r="K4" s="30">
        <v>4122.4799999999996</v>
      </c>
      <c r="L4" s="30">
        <v>4112.82</v>
      </c>
      <c r="M4" s="30"/>
      <c r="N4" s="30"/>
      <c r="O4" s="30"/>
      <c r="P4" s="30"/>
      <c r="Q4" s="30"/>
      <c r="R4" s="30"/>
      <c r="S4" s="29"/>
      <c r="T4" s="30"/>
      <c r="U4" s="30"/>
      <c r="V4" s="30"/>
      <c r="W4" s="30"/>
      <c r="X4" s="30"/>
      <c r="Y4" s="30"/>
      <c r="Z4" s="35"/>
      <c r="AA4" s="10"/>
      <c r="AB4" s="10"/>
      <c r="AC4" s="10"/>
      <c r="AD4" s="10"/>
      <c r="AE4" s="10"/>
      <c r="AF4" s="10"/>
      <c r="AG4" s="10"/>
      <c r="AH4" s="10"/>
      <c r="AI4" s="10"/>
    </row>
    <row r="5" spans="1:35" x14ac:dyDescent="0.25">
      <c r="A5" s="27" t="s">
        <v>6</v>
      </c>
      <c r="B5" s="28" t="s">
        <v>173</v>
      </c>
      <c r="C5" s="29" t="s">
        <v>4</v>
      </c>
      <c r="D5" s="28" t="s">
        <v>319</v>
      </c>
      <c r="E5" s="30">
        <v>3775.36</v>
      </c>
      <c r="F5" s="30">
        <v>3776.63</v>
      </c>
      <c r="G5" s="30">
        <v>3775.38</v>
      </c>
      <c r="H5" s="30">
        <v>3775.38</v>
      </c>
      <c r="I5" s="30">
        <v>3776.63</v>
      </c>
      <c r="J5" s="30">
        <v>3778.14</v>
      </c>
      <c r="K5" s="30">
        <v>3784.79</v>
      </c>
      <c r="L5" s="30">
        <v>3778.51</v>
      </c>
      <c r="M5" s="30"/>
      <c r="N5" s="30"/>
      <c r="O5" s="30"/>
      <c r="P5" s="30"/>
      <c r="Q5" s="30"/>
      <c r="R5" s="30"/>
      <c r="S5" s="29"/>
      <c r="T5" s="30"/>
      <c r="U5" s="30"/>
      <c r="V5" s="30"/>
      <c r="W5" s="30"/>
      <c r="X5" s="30"/>
      <c r="Y5" s="30"/>
      <c r="Z5" s="35"/>
      <c r="AA5" s="10"/>
      <c r="AB5" s="10"/>
      <c r="AC5" s="10"/>
      <c r="AD5" s="10"/>
      <c r="AE5" s="10"/>
      <c r="AF5" s="10"/>
      <c r="AG5" s="10"/>
      <c r="AH5" s="10"/>
      <c r="AI5" s="10"/>
    </row>
    <row r="6" spans="1:35" x14ac:dyDescent="0.25">
      <c r="A6" s="27" t="s">
        <v>7</v>
      </c>
      <c r="B6" s="28" t="s">
        <v>8</v>
      </c>
      <c r="C6" s="29" t="s">
        <v>2</v>
      </c>
      <c r="D6" s="28" t="s">
        <v>320</v>
      </c>
      <c r="E6" s="30">
        <v>10166.219999999999</v>
      </c>
      <c r="F6" s="30">
        <v>10197.16</v>
      </c>
      <c r="G6" s="30">
        <v>10170.44</v>
      </c>
      <c r="H6" s="30">
        <v>10166.540000000001</v>
      </c>
      <c r="I6" s="30">
        <v>10197.16</v>
      </c>
      <c r="J6" s="30">
        <v>10177.23</v>
      </c>
      <c r="K6" s="30">
        <v>10191.629999999999</v>
      </c>
      <c r="L6" s="30">
        <v>10171.98</v>
      </c>
      <c r="M6" s="30"/>
      <c r="N6" s="30"/>
      <c r="O6" s="30"/>
      <c r="P6" s="30"/>
      <c r="Q6" s="30"/>
      <c r="R6" s="30"/>
      <c r="S6" s="29"/>
      <c r="T6" s="30"/>
      <c r="U6" s="30"/>
      <c r="V6" s="30"/>
      <c r="W6" s="30"/>
      <c r="X6" s="30"/>
      <c r="Y6" s="30"/>
      <c r="Z6" s="35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25">
      <c r="A7" s="27" t="s">
        <v>9</v>
      </c>
      <c r="B7" s="28" t="s">
        <v>10</v>
      </c>
      <c r="C7" s="29" t="s">
        <v>2</v>
      </c>
      <c r="D7" s="28" t="s">
        <v>321</v>
      </c>
      <c r="E7" s="30">
        <v>11389.14</v>
      </c>
      <c r="F7" s="30">
        <v>11423.15</v>
      </c>
      <c r="G7" s="30">
        <v>11394.5</v>
      </c>
      <c r="H7" s="30">
        <v>11389.22</v>
      </c>
      <c r="I7" s="30">
        <v>11423.15</v>
      </c>
      <c r="J7" s="30">
        <v>11407.67</v>
      </c>
      <c r="K7" s="30">
        <v>11417.6</v>
      </c>
      <c r="L7" s="30">
        <v>11393.76</v>
      </c>
      <c r="M7" s="30"/>
      <c r="N7" s="30"/>
      <c r="O7" s="30"/>
      <c r="P7" s="30"/>
      <c r="Q7" s="30"/>
      <c r="R7" s="30"/>
      <c r="S7" s="29"/>
      <c r="T7" s="30"/>
      <c r="U7" s="30"/>
      <c r="V7" s="30"/>
      <c r="W7" s="30"/>
      <c r="X7" s="30"/>
      <c r="Y7" s="30"/>
      <c r="Z7" s="35"/>
      <c r="AA7" s="10"/>
      <c r="AB7" s="10"/>
      <c r="AC7" s="10"/>
      <c r="AD7" s="10"/>
      <c r="AE7" s="10"/>
      <c r="AF7" s="10"/>
      <c r="AG7" s="10"/>
      <c r="AH7" s="10"/>
      <c r="AI7" s="10"/>
    </row>
    <row r="8" spans="1:35" x14ac:dyDescent="0.25">
      <c r="A8" s="27" t="s">
        <v>67</v>
      </c>
      <c r="B8" s="28" t="s">
        <v>8</v>
      </c>
      <c r="C8" s="29" t="s">
        <v>2</v>
      </c>
      <c r="D8" s="28" t="s">
        <v>322</v>
      </c>
      <c r="E8" s="30">
        <v>7941.89</v>
      </c>
      <c r="F8" s="30">
        <v>7965.62</v>
      </c>
      <c r="G8" s="30">
        <v>7942.57</v>
      </c>
      <c r="H8" s="30">
        <v>7942.39</v>
      </c>
      <c r="I8" s="30">
        <v>7965.62</v>
      </c>
      <c r="J8" s="30">
        <v>7962.91</v>
      </c>
      <c r="K8" s="30">
        <v>7961.74</v>
      </c>
      <c r="L8" s="30">
        <v>7944.66</v>
      </c>
      <c r="M8" s="3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36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25">
      <c r="A9" s="27" t="s">
        <v>68</v>
      </c>
      <c r="B9" s="28" t="s">
        <v>10</v>
      </c>
      <c r="C9" s="29" t="s">
        <v>2</v>
      </c>
      <c r="D9" s="28" t="s">
        <v>323</v>
      </c>
      <c r="E9" s="30">
        <v>9044.9599999999991</v>
      </c>
      <c r="F9" s="30">
        <v>9072.5300000000007</v>
      </c>
      <c r="G9" s="30">
        <v>9044.98</v>
      </c>
      <c r="H9" s="30">
        <v>9045.2800000000007</v>
      </c>
      <c r="I9" s="30">
        <v>9072.5300000000007</v>
      </c>
      <c r="J9" s="30">
        <v>9066.67</v>
      </c>
      <c r="K9" s="30">
        <v>9067.58</v>
      </c>
      <c r="L9" s="30">
        <v>9048.26</v>
      </c>
      <c r="M9" s="3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36"/>
      <c r="AA9" s="10"/>
      <c r="AB9" s="10"/>
      <c r="AC9" s="10"/>
      <c r="AD9" s="10"/>
      <c r="AE9" s="10"/>
      <c r="AF9" s="10"/>
      <c r="AG9" s="10"/>
      <c r="AH9" s="10"/>
      <c r="AI9" s="10"/>
    </row>
    <row r="10" spans="1:35" x14ac:dyDescent="0.25">
      <c r="A10" s="27" t="s">
        <v>69</v>
      </c>
      <c r="B10" s="28" t="s">
        <v>324</v>
      </c>
      <c r="C10" s="29" t="s">
        <v>4</v>
      </c>
      <c r="D10" s="28" t="s">
        <v>325</v>
      </c>
      <c r="E10" s="30">
        <v>780.02</v>
      </c>
      <c r="F10" s="30">
        <v>782.33</v>
      </c>
      <c r="G10" s="30">
        <v>780.07</v>
      </c>
      <c r="H10" s="30">
        <v>780.03</v>
      </c>
      <c r="I10" s="30">
        <v>780.13</v>
      </c>
      <c r="J10" s="30">
        <v>781.29</v>
      </c>
      <c r="K10" s="30">
        <v>781.97</v>
      </c>
      <c r="L10" s="30">
        <v>780.24</v>
      </c>
      <c r="M10" s="3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6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25">
      <c r="A11" s="27" t="s">
        <v>70</v>
      </c>
      <c r="B11" s="28" t="s">
        <v>174</v>
      </c>
      <c r="C11" s="29" t="s">
        <v>4</v>
      </c>
      <c r="D11" s="28" t="s">
        <v>326</v>
      </c>
      <c r="E11" s="30">
        <v>1281.03</v>
      </c>
      <c r="F11" s="30">
        <v>1281.3800000000001</v>
      </c>
      <c r="G11" s="30">
        <v>1281.04</v>
      </c>
      <c r="H11" s="30">
        <v>1281.03</v>
      </c>
      <c r="I11" s="30">
        <v>1281.69</v>
      </c>
      <c r="J11" s="30">
        <v>1483.42</v>
      </c>
      <c r="K11" s="30">
        <v>1284.22</v>
      </c>
      <c r="L11" s="30">
        <v>1281.3599999999999</v>
      </c>
      <c r="M11" s="30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36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x14ac:dyDescent="0.25">
      <c r="A12" s="27" t="s">
        <v>71</v>
      </c>
      <c r="B12" s="28" t="s">
        <v>175</v>
      </c>
      <c r="C12" s="29" t="s">
        <v>4</v>
      </c>
      <c r="D12" s="28" t="s">
        <v>327</v>
      </c>
      <c r="E12" s="30">
        <v>1766.85</v>
      </c>
      <c r="F12" s="30">
        <v>1772.31</v>
      </c>
      <c r="G12" s="30">
        <v>1766.88</v>
      </c>
      <c r="H12" s="30">
        <v>1767.02</v>
      </c>
      <c r="I12" s="30">
        <v>1772.31</v>
      </c>
      <c r="J12" s="30">
        <v>2551.66</v>
      </c>
      <c r="K12" s="30">
        <v>1771.27</v>
      </c>
      <c r="L12" s="30">
        <v>1767.31</v>
      </c>
      <c r="M12" s="30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36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25">
      <c r="A13" s="27" t="s">
        <v>72</v>
      </c>
      <c r="B13" s="28" t="s">
        <v>328</v>
      </c>
      <c r="C13" s="29" t="s">
        <v>4</v>
      </c>
      <c r="D13" s="28" t="s">
        <v>329</v>
      </c>
      <c r="E13" s="30">
        <v>2000.78</v>
      </c>
      <c r="F13" s="30">
        <v>2006.76</v>
      </c>
      <c r="G13" s="30">
        <v>2000.79</v>
      </c>
      <c r="H13" s="30">
        <v>2001.91</v>
      </c>
      <c r="I13" s="30">
        <v>2006.76</v>
      </c>
      <c r="J13" s="30">
        <v>2001.47</v>
      </c>
      <c r="K13" s="30">
        <v>2005.79</v>
      </c>
      <c r="L13" s="30">
        <v>2001.29</v>
      </c>
      <c r="M13" s="30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6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x14ac:dyDescent="0.25">
      <c r="A14" s="27" t="s">
        <v>73</v>
      </c>
      <c r="B14" s="28" t="s">
        <v>330</v>
      </c>
      <c r="C14" s="29" t="s">
        <v>4</v>
      </c>
      <c r="D14" s="28" t="s">
        <v>331</v>
      </c>
      <c r="E14" s="30">
        <v>1625.28</v>
      </c>
      <c r="F14" s="30">
        <v>1630.05</v>
      </c>
      <c r="G14" s="30">
        <v>1625.32</v>
      </c>
      <c r="H14" s="30">
        <v>1625.9</v>
      </c>
      <c r="I14" s="30">
        <v>1630.05</v>
      </c>
      <c r="J14" s="30">
        <v>1625.4</v>
      </c>
      <c r="K14" s="30">
        <v>1629.34</v>
      </c>
      <c r="L14" s="30">
        <v>1625.81</v>
      </c>
      <c r="M14" s="3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6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x14ac:dyDescent="0.25">
      <c r="A15" s="27" t="s">
        <v>11</v>
      </c>
      <c r="B15" s="28" t="s">
        <v>176</v>
      </c>
      <c r="C15" s="29" t="s">
        <v>12</v>
      </c>
      <c r="D15" s="28" t="s">
        <v>332</v>
      </c>
      <c r="E15" s="30">
        <v>7655.93</v>
      </c>
      <c r="F15" s="30">
        <v>7679.33</v>
      </c>
      <c r="G15" s="30">
        <v>7657.38</v>
      </c>
      <c r="H15" s="30">
        <v>7655.94</v>
      </c>
      <c r="I15" s="30">
        <v>7657.28</v>
      </c>
      <c r="J15" s="30">
        <v>7672.12</v>
      </c>
      <c r="K15" s="30">
        <v>7675.07</v>
      </c>
      <c r="L15" s="30">
        <v>7658.15</v>
      </c>
      <c r="M15" s="30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36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x14ac:dyDescent="0.25">
      <c r="A16" s="27" t="s">
        <v>13</v>
      </c>
      <c r="B16" s="28" t="s">
        <v>14</v>
      </c>
      <c r="C16" s="29" t="s">
        <v>12</v>
      </c>
      <c r="D16" s="28" t="s">
        <v>333</v>
      </c>
      <c r="E16" s="30">
        <v>9081.06</v>
      </c>
      <c r="F16" s="30">
        <v>9108.14</v>
      </c>
      <c r="G16" s="30">
        <v>9081.32</v>
      </c>
      <c r="H16" s="30">
        <v>9081.92</v>
      </c>
      <c r="I16" s="30">
        <v>9082.64</v>
      </c>
      <c r="J16" s="30">
        <v>9104.08</v>
      </c>
      <c r="K16" s="30">
        <v>9103.75</v>
      </c>
      <c r="L16" s="30">
        <v>9084.9500000000007</v>
      </c>
      <c r="M16" s="30"/>
      <c r="N16" s="30"/>
      <c r="O16" s="30"/>
      <c r="P16" s="30"/>
      <c r="Q16" s="30"/>
      <c r="R16" s="30"/>
      <c r="S16" s="29"/>
      <c r="T16" s="30"/>
      <c r="U16" s="30"/>
      <c r="V16" s="30"/>
      <c r="W16" s="30"/>
      <c r="X16" s="30"/>
      <c r="Y16" s="30"/>
      <c r="Z16" s="35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x14ac:dyDescent="0.25">
      <c r="A17" s="27" t="s">
        <v>15</v>
      </c>
      <c r="B17" s="28" t="s">
        <v>16</v>
      </c>
      <c r="C17" s="29" t="s">
        <v>12</v>
      </c>
      <c r="D17" s="28" t="s">
        <v>334</v>
      </c>
      <c r="E17" s="30">
        <v>8397.2800000000007</v>
      </c>
      <c r="F17" s="30">
        <v>8422.64</v>
      </c>
      <c r="G17" s="30">
        <v>8397.34</v>
      </c>
      <c r="H17" s="30">
        <v>8397.3700000000008</v>
      </c>
      <c r="I17" s="30">
        <v>8399.06</v>
      </c>
      <c r="J17" s="30">
        <v>8403.6200000000008</v>
      </c>
      <c r="K17" s="30">
        <v>8418.27</v>
      </c>
      <c r="L17" s="30">
        <v>8400.17</v>
      </c>
      <c r="M17" s="30"/>
      <c r="N17" s="30"/>
      <c r="O17" s="30"/>
      <c r="P17" s="30"/>
      <c r="Q17" s="30"/>
      <c r="R17" s="30"/>
      <c r="S17" s="29"/>
      <c r="T17" s="30"/>
      <c r="U17" s="30"/>
      <c r="V17" s="30"/>
      <c r="W17" s="30"/>
      <c r="X17" s="30"/>
      <c r="Y17" s="30"/>
      <c r="Z17" s="35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x14ac:dyDescent="0.25">
      <c r="A18" s="27" t="s">
        <v>17</v>
      </c>
      <c r="B18" s="28" t="s">
        <v>335</v>
      </c>
      <c r="C18" s="29" t="s">
        <v>12</v>
      </c>
      <c r="D18" s="28" t="s">
        <v>336</v>
      </c>
      <c r="E18" s="30">
        <v>10474.36</v>
      </c>
      <c r="F18" s="30">
        <v>10505.55</v>
      </c>
      <c r="G18" s="30">
        <v>10474.39</v>
      </c>
      <c r="H18" s="30">
        <v>10474.67</v>
      </c>
      <c r="I18" s="30">
        <v>10505.55</v>
      </c>
      <c r="J18" s="30">
        <v>10518.74</v>
      </c>
      <c r="K18" s="30">
        <v>10500.54</v>
      </c>
      <c r="L18" s="30">
        <v>10479.23</v>
      </c>
      <c r="M18" s="30"/>
      <c r="N18" s="30"/>
      <c r="O18" s="30"/>
      <c r="P18" s="30"/>
      <c r="Q18" s="30"/>
      <c r="R18" s="30"/>
      <c r="S18" s="29"/>
      <c r="T18" s="30"/>
      <c r="U18" s="30"/>
      <c r="V18" s="30"/>
      <c r="W18" s="30"/>
      <c r="X18" s="30"/>
      <c r="Y18" s="30"/>
      <c r="Z18" s="35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x14ac:dyDescent="0.25">
      <c r="A19" s="27" t="s">
        <v>19</v>
      </c>
      <c r="B19" s="28" t="s">
        <v>177</v>
      </c>
      <c r="C19" s="29" t="s">
        <v>12</v>
      </c>
      <c r="D19" s="28" t="s">
        <v>337</v>
      </c>
      <c r="E19" s="30">
        <v>12278.64</v>
      </c>
      <c r="F19" s="30">
        <v>12315.75</v>
      </c>
      <c r="G19" s="30">
        <v>12278.65</v>
      </c>
      <c r="H19" s="30">
        <v>12278.76</v>
      </c>
      <c r="I19" s="30">
        <v>12315.75</v>
      </c>
      <c r="J19" s="30">
        <v>12309.41</v>
      </c>
      <c r="K19" s="30">
        <v>12309.33</v>
      </c>
      <c r="L19" s="30">
        <v>12282.75</v>
      </c>
      <c r="M19" s="30"/>
      <c r="N19" s="30"/>
      <c r="O19" s="30"/>
      <c r="P19" s="30"/>
      <c r="Q19" s="30"/>
      <c r="R19" s="30"/>
      <c r="S19" s="29"/>
      <c r="T19" s="30"/>
      <c r="U19" s="30"/>
      <c r="V19" s="30"/>
      <c r="W19" s="30"/>
      <c r="X19" s="30"/>
      <c r="Y19" s="30"/>
      <c r="Z19" s="35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x14ac:dyDescent="0.25">
      <c r="A20" s="27" t="s">
        <v>20</v>
      </c>
      <c r="B20" s="28" t="s">
        <v>178</v>
      </c>
      <c r="C20" s="29" t="s">
        <v>12</v>
      </c>
      <c r="D20" s="28" t="s">
        <v>338</v>
      </c>
      <c r="E20" s="30">
        <v>13053.66</v>
      </c>
      <c r="F20" s="30">
        <v>13092.17</v>
      </c>
      <c r="G20" s="30">
        <v>13054.45</v>
      </c>
      <c r="H20" s="30">
        <v>13053.88</v>
      </c>
      <c r="I20" s="30">
        <v>13056.47</v>
      </c>
      <c r="J20" s="30">
        <v>13055.98</v>
      </c>
      <c r="K20" s="30">
        <v>13086.3</v>
      </c>
      <c r="L20" s="30">
        <v>13055.36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5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x14ac:dyDescent="0.25">
      <c r="A21" s="27" t="s">
        <v>21</v>
      </c>
      <c r="B21" s="28" t="s">
        <v>339</v>
      </c>
      <c r="C21" s="29" t="s">
        <v>12</v>
      </c>
      <c r="D21" s="28" t="s">
        <v>340</v>
      </c>
      <c r="E21" s="30">
        <v>9422</v>
      </c>
      <c r="F21" s="30">
        <v>9449.9</v>
      </c>
      <c r="G21" s="30">
        <v>9422.01</v>
      </c>
      <c r="H21" s="30">
        <v>9422</v>
      </c>
      <c r="I21" s="30">
        <v>9449.9</v>
      </c>
      <c r="J21" s="30">
        <v>9429.5499999999993</v>
      </c>
      <c r="K21" s="30">
        <v>9445.5499999999993</v>
      </c>
      <c r="L21" s="30">
        <v>9426.2000000000007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5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x14ac:dyDescent="0.25">
      <c r="A22" s="27" t="s">
        <v>74</v>
      </c>
      <c r="B22" s="28" t="s">
        <v>180</v>
      </c>
      <c r="C22" s="29" t="s">
        <v>12</v>
      </c>
      <c r="D22" s="28" t="s">
        <v>341</v>
      </c>
      <c r="E22" s="30">
        <v>9645.7099999999991</v>
      </c>
      <c r="F22" s="30">
        <v>9674.83</v>
      </c>
      <c r="G22" s="30">
        <v>9646.01</v>
      </c>
      <c r="H22" s="30">
        <v>9646.2000000000007</v>
      </c>
      <c r="I22" s="30">
        <v>9647.4599999999991</v>
      </c>
      <c r="J22" s="30">
        <v>9655.73</v>
      </c>
      <c r="K22" s="30">
        <v>9669.82</v>
      </c>
      <c r="L22" s="30">
        <v>9651.5300000000007</v>
      </c>
      <c r="M22" s="30"/>
      <c r="N22" s="30"/>
      <c r="O22" s="30"/>
      <c r="P22" s="30"/>
      <c r="Q22" s="30"/>
      <c r="R22" s="30"/>
      <c r="S22" s="29"/>
      <c r="T22" s="30"/>
      <c r="U22" s="30"/>
      <c r="V22" s="30"/>
      <c r="W22" s="30"/>
      <c r="X22" s="30"/>
      <c r="Y22" s="30"/>
      <c r="Z22" s="35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x14ac:dyDescent="0.25">
      <c r="A23" s="27" t="s">
        <v>75</v>
      </c>
      <c r="B23" s="28" t="s">
        <v>342</v>
      </c>
      <c r="C23" s="29" t="s">
        <v>12</v>
      </c>
      <c r="D23" s="28" t="s">
        <v>343</v>
      </c>
      <c r="E23" s="30">
        <v>13166.74</v>
      </c>
      <c r="F23" s="30">
        <v>13206.43</v>
      </c>
      <c r="G23" s="30">
        <v>13166.98</v>
      </c>
      <c r="H23" s="30">
        <v>13166.88</v>
      </c>
      <c r="I23" s="30">
        <v>13170.72</v>
      </c>
      <c r="J23" s="30">
        <v>13180.53</v>
      </c>
      <c r="K23" s="30">
        <v>13199.65</v>
      </c>
      <c r="L23" s="30">
        <v>13171.98</v>
      </c>
      <c r="M23" s="30"/>
      <c r="N23" s="30"/>
      <c r="O23" s="30"/>
      <c r="P23" s="30"/>
      <c r="Q23" s="30"/>
      <c r="R23" s="30"/>
      <c r="S23" s="29"/>
      <c r="T23" s="30"/>
      <c r="U23" s="30"/>
      <c r="V23" s="30"/>
      <c r="W23" s="30"/>
      <c r="X23" s="30"/>
      <c r="Y23" s="30"/>
      <c r="Z23" s="35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x14ac:dyDescent="0.25">
      <c r="A24" s="27" t="s">
        <v>22</v>
      </c>
      <c r="B24" s="28" t="s">
        <v>181</v>
      </c>
      <c r="C24" s="29" t="s">
        <v>4</v>
      </c>
      <c r="D24" s="28" t="s">
        <v>344</v>
      </c>
      <c r="E24" s="30">
        <v>16987.32</v>
      </c>
      <c r="F24" s="30">
        <v>17039.2</v>
      </c>
      <c r="G24" s="30">
        <v>16987.34</v>
      </c>
      <c r="H24" s="30">
        <v>16987.37</v>
      </c>
      <c r="I24" s="30">
        <v>16992.79</v>
      </c>
      <c r="J24" s="30">
        <v>16996.37</v>
      </c>
      <c r="K24" s="30">
        <v>17029.79</v>
      </c>
      <c r="L24" s="30">
        <v>16991.27</v>
      </c>
      <c r="M24" s="30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6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x14ac:dyDescent="0.25">
      <c r="A25" s="27" t="s">
        <v>23</v>
      </c>
      <c r="B25" s="28" t="s">
        <v>182</v>
      </c>
      <c r="C25" s="29" t="s">
        <v>4</v>
      </c>
      <c r="D25" s="28" t="s">
        <v>345</v>
      </c>
      <c r="E25" s="30">
        <v>15726.95</v>
      </c>
      <c r="F25" s="30">
        <v>15732.43</v>
      </c>
      <c r="G25" s="30">
        <v>15726.97</v>
      </c>
      <c r="H25" s="30">
        <v>15726.96</v>
      </c>
      <c r="I25" s="30">
        <v>15730.05</v>
      </c>
      <c r="J25" s="30">
        <v>15735.33</v>
      </c>
      <c r="K25" s="30">
        <v>15766.25</v>
      </c>
      <c r="L25" s="30">
        <v>15733.42</v>
      </c>
      <c r="M25" s="30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6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x14ac:dyDescent="0.25">
      <c r="A26" s="27" t="s">
        <v>24</v>
      </c>
      <c r="B26" s="28" t="s">
        <v>183</v>
      </c>
      <c r="C26" s="29" t="s">
        <v>12</v>
      </c>
      <c r="D26" s="28" t="s">
        <v>346</v>
      </c>
      <c r="E26" s="30">
        <v>48979.76</v>
      </c>
      <c r="F26" s="30">
        <v>49127.45</v>
      </c>
      <c r="G26" s="30">
        <v>48979.78</v>
      </c>
      <c r="H26" s="30">
        <v>48980.76</v>
      </c>
      <c r="I26" s="30">
        <v>48988.6</v>
      </c>
      <c r="J26" s="30">
        <v>49002.79</v>
      </c>
      <c r="K26" s="30">
        <v>49102.21</v>
      </c>
      <c r="L26" s="30">
        <v>49010.87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5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x14ac:dyDescent="0.25">
      <c r="A27" s="27" t="s">
        <v>25</v>
      </c>
      <c r="B27" s="28" t="s">
        <v>91</v>
      </c>
      <c r="C27" s="29" t="s">
        <v>4</v>
      </c>
      <c r="D27" s="28" t="s">
        <v>347</v>
      </c>
      <c r="E27" s="30">
        <v>18796.09</v>
      </c>
      <c r="F27" s="30">
        <v>18809.12</v>
      </c>
      <c r="G27" s="30">
        <v>18796.11</v>
      </c>
      <c r="H27" s="30">
        <v>18796.189999999999</v>
      </c>
      <c r="I27" s="30">
        <v>18801.98</v>
      </c>
      <c r="J27" s="30">
        <v>18859.810000000001</v>
      </c>
      <c r="K27" s="30">
        <v>18843.080000000002</v>
      </c>
      <c r="L27" s="30">
        <v>18800.91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5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x14ac:dyDescent="0.25">
      <c r="A28" s="27" t="s">
        <v>26</v>
      </c>
      <c r="B28" s="28" t="s">
        <v>348</v>
      </c>
      <c r="C28" s="29" t="s">
        <v>4</v>
      </c>
      <c r="D28" s="28" t="s">
        <v>349</v>
      </c>
      <c r="E28" s="30">
        <v>20102.77</v>
      </c>
      <c r="F28" s="30">
        <v>20115.89</v>
      </c>
      <c r="G28" s="30">
        <v>20102.8</v>
      </c>
      <c r="H28" s="30">
        <v>20102.91</v>
      </c>
      <c r="I28" s="30">
        <v>20115.89</v>
      </c>
      <c r="J28" s="30">
        <v>20112.38</v>
      </c>
      <c r="K28" s="30">
        <v>20153.009999999998</v>
      </c>
      <c r="L28" s="30">
        <v>20112.48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5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x14ac:dyDescent="0.25">
      <c r="A29" s="27" t="s">
        <v>27</v>
      </c>
      <c r="B29" s="28" t="s">
        <v>350</v>
      </c>
      <c r="C29" s="29" t="s">
        <v>4</v>
      </c>
      <c r="D29" s="28" t="s">
        <v>351</v>
      </c>
      <c r="E29" s="30">
        <v>21288.42</v>
      </c>
      <c r="F29" s="30">
        <v>21295.29</v>
      </c>
      <c r="G29" s="30">
        <v>21288.46</v>
      </c>
      <c r="H29" s="30">
        <v>21288.65</v>
      </c>
      <c r="I29" s="30">
        <v>21295.29</v>
      </c>
      <c r="J29" s="30">
        <v>31833.439999999999</v>
      </c>
      <c r="K29" s="30">
        <v>21341.63</v>
      </c>
      <c r="L29" s="30">
        <v>21295.82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5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x14ac:dyDescent="0.25">
      <c r="A30" s="27" t="s">
        <v>28</v>
      </c>
      <c r="B30" s="28" t="s">
        <v>352</v>
      </c>
      <c r="C30" s="29" t="s">
        <v>4</v>
      </c>
      <c r="D30" s="28" t="s">
        <v>353</v>
      </c>
      <c r="E30" s="30">
        <v>23318.61</v>
      </c>
      <c r="F30" s="30">
        <v>23388.75</v>
      </c>
      <c r="G30" s="30">
        <v>23318.61</v>
      </c>
      <c r="H30" s="30">
        <v>23318.71</v>
      </c>
      <c r="I30" s="30">
        <v>23323.29</v>
      </c>
      <c r="J30" s="30">
        <v>23525.56</v>
      </c>
      <c r="K30" s="30">
        <v>23376.89</v>
      </c>
      <c r="L30" s="30">
        <v>23330.94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5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x14ac:dyDescent="0.25">
      <c r="A31" s="27" t="s">
        <v>76</v>
      </c>
      <c r="B31" s="28" t="s">
        <v>354</v>
      </c>
      <c r="C31" s="29" t="s">
        <v>4</v>
      </c>
      <c r="D31" s="28" t="s">
        <v>355</v>
      </c>
      <c r="E31" s="30">
        <v>24493.03</v>
      </c>
      <c r="F31" s="30">
        <v>24501.21</v>
      </c>
      <c r="G31" s="30">
        <v>24493.06</v>
      </c>
      <c r="H31" s="30">
        <v>24493.05</v>
      </c>
      <c r="I31" s="30">
        <v>24501.21</v>
      </c>
      <c r="J31" s="30">
        <v>24516.45</v>
      </c>
      <c r="K31" s="30">
        <v>24554.240000000002</v>
      </c>
      <c r="L31" s="30">
        <v>24497.95</v>
      </c>
      <c r="M31" s="30"/>
      <c r="N31" s="30"/>
      <c r="O31" s="30"/>
      <c r="P31" s="30"/>
      <c r="Q31" s="30"/>
      <c r="R31" s="30"/>
      <c r="S31" s="29"/>
      <c r="T31" s="30"/>
      <c r="U31" s="30"/>
      <c r="V31" s="30"/>
      <c r="W31" s="30"/>
      <c r="X31" s="30"/>
      <c r="Y31" s="30"/>
      <c r="Z31" s="35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x14ac:dyDescent="0.25">
      <c r="A32" s="27" t="s">
        <v>77</v>
      </c>
      <c r="B32" s="28" t="s">
        <v>356</v>
      </c>
      <c r="C32" s="29" t="s">
        <v>4</v>
      </c>
      <c r="D32" s="28" t="s">
        <v>357</v>
      </c>
      <c r="E32" s="30">
        <v>26292.22</v>
      </c>
      <c r="F32" s="30">
        <v>26300.7</v>
      </c>
      <c r="G32" s="30">
        <v>26292.25</v>
      </c>
      <c r="H32" s="30">
        <v>26292.29</v>
      </c>
      <c r="I32" s="30">
        <v>26300.7</v>
      </c>
      <c r="J32" s="30">
        <v>26319.200000000001</v>
      </c>
      <c r="K32" s="30">
        <v>26357.93</v>
      </c>
      <c r="L32" s="30">
        <v>26305.919999999998</v>
      </c>
      <c r="M32" s="30"/>
      <c r="N32" s="30"/>
      <c r="O32" s="30"/>
      <c r="P32" s="30"/>
      <c r="Q32" s="30"/>
      <c r="R32" s="30"/>
      <c r="S32" s="29"/>
      <c r="T32" s="30"/>
      <c r="U32" s="30"/>
      <c r="V32" s="30"/>
      <c r="W32" s="30"/>
      <c r="X32" s="30"/>
      <c r="Y32" s="30"/>
      <c r="Z32" s="35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x14ac:dyDescent="0.25">
      <c r="A33" s="27" t="s">
        <v>78</v>
      </c>
      <c r="B33" s="28" t="s">
        <v>358</v>
      </c>
      <c r="C33" s="29" t="s">
        <v>4</v>
      </c>
      <c r="D33" s="28" t="s">
        <v>359</v>
      </c>
      <c r="E33" s="30">
        <v>32112.65</v>
      </c>
      <c r="F33" s="30">
        <v>32209.37</v>
      </c>
      <c r="G33" s="30">
        <v>32113.88</v>
      </c>
      <c r="H33" s="30">
        <v>32113.03</v>
      </c>
      <c r="I33" s="30">
        <v>32122.49</v>
      </c>
      <c r="J33" s="30">
        <v>32269.13</v>
      </c>
      <c r="K33" s="30">
        <v>32192.94</v>
      </c>
      <c r="L33" s="30">
        <v>32127.26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5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x14ac:dyDescent="0.25">
      <c r="A34" s="27" t="s">
        <v>79</v>
      </c>
      <c r="B34" s="28" t="s">
        <v>360</v>
      </c>
      <c r="C34" s="29" t="s">
        <v>4</v>
      </c>
      <c r="D34" s="28" t="s">
        <v>361</v>
      </c>
      <c r="E34" s="30">
        <v>35231.72</v>
      </c>
      <c r="F34" s="30">
        <v>35338.25</v>
      </c>
      <c r="G34" s="30">
        <v>35234.730000000003</v>
      </c>
      <c r="H34" s="30">
        <v>35231.800000000003</v>
      </c>
      <c r="I34" s="30">
        <v>35243.03</v>
      </c>
      <c r="J34" s="30">
        <v>35372.550000000003</v>
      </c>
      <c r="K34" s="30">
        <v>35319.78</v>
      </c>
      <c r="L34" s="30">
        <v>35261.300000000003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5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x14ac:dyDescent="0.25">
      <c r="A35" s="27" t="s">
        <v>80</v>
      </c>
      <c r="B35" s="28" t="s">
        <v>362</v>
      </c>
      <c r="C35" s="29" t="s">
        <v>4</v>
      </c>
      <c r="D35" s="28" t="s">
        <v>363</v>
      </c>
      <c r="E35" s="30">
        <v>19919.63</v>
      </c>
      <c r="F35" s="30">
        <v>19934.060000000001</v>
      </c>
      <c r="G35" s="30">
        <v>19919.64</v>
      </c>
      <c r="H35" s="30">
        <v>19919.64</v>
      </c>
      <c r="I35" s="30">
        <v>19925.73</v>
      </c>
      <c r="J35" s="30">
        <v>19936.54</v>
      </c>
      <c r="K35" s="30">
        <v>19969.41</v>
      </c>
      <c r="L35" s="30">
        <v>19926.580000000002</v>
      </c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36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x14ac:dyDescent="0.25">
      <c r="A36" s="27" t="s">
        <v>81</v>
      </c>
      <c r="B36" s="28" t="s">
        <v>364</v>
      </c>
      <c r="C36" s="29" t="s">
        <v>4</v>
      </c>
      <c r="D36" s="28" t="s">
        <v>365</v>
      </c>
      <c r="E36" s="30">
        <v>21893.59</v>
      </c>
      <c r="F36" s="30">
        <v>21900.17</v>
      </c>
      <c r="G36" s="30">
        <v>21893.62</v>
      </c>
      <c r="H36" s="30">
        <v>21893.919999999998</v>
      </c>
      <c r="I36" s="30">
        <v>21900.17</v>
      </c>
      <c r="J36" s="30">
        <v>21945.1</v>
      </c>
      <c r="K36" s="30">
        <v>21948.32</v>
      </c>
      <c r="L36" s="30">
        <v>21905.040000000001</v>
      </c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36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x14ac:dyDescent="0.25">
      <c r="A37" s="27" t="s">
        <v>82</v>
      </c>
      <c r="B37" s="28" t="s">
        <v>366</v>
      </c>
      <c r="C37" s="29" t="s">
        <v>4</v>
      </c>
      <c r="D37" s="28" t="s">
        <v>367</v>
      </c>
      <c r="E37" s="30">
        <v>22643.5</v>
      </c>
      <c r="F37" s="30">
        <v>22712.25</v>
      </c>
      <c r="G37" s="30">
        <v>22643.5</v>
      </c>
      <c r="H37" s="30">
        <v>22643.64</v>
      </c>
      <c r="I37" s="30">
        <v>22650.36</v>
      </c>
      <c r="J37" s="30">
        <v>22720.43</v>
      </c>
      <c r="K37" s="30">
        <v>22700.09</v>
      </c>
      <c r="L37" s="30">
        <v>22653.59</v>
      </c>
      <c r="M37" s="30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36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x14ac:dyDescent="0.25">
      <c r="A38" s="27" t="s">
        <v>83</v>
      </c>
      <c r="B38" s="28" t="s">
        <v>368</v>
      </c>
      <c r="C38" s="29" t="s">
        <v>4</v>
      </c>
      <c r="D38" s="28" t="s">
        <v>369</v>
      </c>
      <c r="E38" s="30">
        <v>24841.599999999999</v>
      </c>
      <c r="F38" s="30">
        <v>24916.38</v>
      </c>
      <c r="G38" s="30">
        <v>24841.62</v>
      </c>
      <c r="H38" s="30">
        <v>24841.82</v>
      </c>
      <c r="I38" s="30">
        <v>24846.17</v>
      </c>
      <c r="J38" s="30">
        <v>24886.19</v>
      </c>
      <c r="K38" s="30">
        <v>24903.7</v>
      </c>
      <c r="L38" s="30">
        <v>24856.3</v>
      </c>
      <c r="M38" s="30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36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x14ac:dyDescent="0.25">
      <c r="A39" s="27" t="s">
        <v>84</v>
      </c>
      <c r="B39" s="28" t="s">
        <v>370</v>
      </c>
      <c r="C39" s="29" t="s">
        <v>4</v>
      </c>
      <c r="D39" s="28" t="s">
        <v>371</v>
      </c>
      <c r="E39" s="30">
        <v>25440.75</v>
      </c>
      <c r="F39" s="30">
        <v>25448.78</v>
      </c>
      <c r="G39" s="30">
        <v>25440.77</v>
      </c>
      <c r="H39" s="30">
        <v>25440.77</v>
      </c>
      <c r="I39" s="30">
        <v>25448.78</v>
      </c>
      <c r="J39" s="30">
        <v>25472.639999999999</v>
      </c>
      <c r="K39" s="30">
        <v>25504.35</v>
      </c>
      <c r="L39" s="30">
        <v>25452.38</v>
      </c>
      <c r="M39" s="3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36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x14ac:dyDescent="0.25">
      <c r="A40" s="27" t="s">
        <v>85</v>
      </c>
      <c r="B40" s="28" t="s">
        <v>372</v>
      </c>
      <c r="C40" s="29" t="s">
        <v>4</v>
      </c>
      <c r="D40" s="28" t="s">
        <v>373</v>
      </c>
      <c r="E40" s="30">
        <v>27833.78</v>
      </c>
      <c r="F40" s="30">
        <v>27917.13</v>
      </c>
      <c r="G40" s="30">
        <v>27833.81</v>
      </c>
      <c r="H40" s="30">
        <v>27834.01</v>
      </c>
      <c r="I40" s="30">
        <v>27842.15</v>
      </c>
      <c r="J40" s="30">
        <v>27869.66</v>
      </c>
      <c r="K40" s="30">
        <v>27903.35</v>
      </c>
      <c r="L40" s="30">
        <v>27845.71</v>
      </c>
      <c r="M40" s="3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36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x14ac:dyDescent="0.25">
      <c r="A41" s="27" t="s">
        <v>86</v>
      </c>
      <c r="B41" s="28" t="s">
        <v>374</v>
      </c>
      <c r="C41" s="29" t="s">
        <v>4</v>
      </c>
      <c r="D41" s="28" t="s">
        <v>375</v>
      </c>
      <c r="E41" s="30">
        <v>32884.67</v>
      </c>
      <c r="F41" s="30">
        <v>32895.29</v>
      </c>
      <c r="G41" s="30">
        <v>32884.699999999997</v>
      </c>
      <c r="H41" s="30">
        <v>32884.92</v>
      </c>
      <c r="I41" s="30">
        <v>32895.29</v>
      </c>
      <c r="J41" s="30">
        <v>32992.480000000003</v>
      </c>
      <c r="K41" s="30">
        <v>32966.870000000003</v>
      </c>
      <c r="L41" s="30">
        <v>32901.03</v>
      </c>
      <c r="M41" s="30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36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x14ac:dyDescent="0.25">
      <c r="A42" s="27" t="s">
        <v>87</v>
      </c>
      <c r="B42" s="28" t="s">
        <v>376</v>
      </c>
      <c r="C42" s="29" t="s">
        <v>4</v>
      </c>
      <c r="D42" s="28" t="s">
        <v>377</v>
      </c>
      <c r="E42" s="30">
        <v>35888.15</v>
      </c>
      <c r="F42" s="30">
        <v>35899.199999999997</v>
      </c>
      <c r="G42" s="30">
        <v>35890.25</v>
      </c>
      <c r="H42" s="30">
        <v>35888.199999999997</v>
      </c>
      <c r="I42" s="30">
        <v>35899.199999999997</v>
      </c>
      <c r="J42" s="30">
        <v>35907.96</v>
      </c>
      <c r="K42" s="30">
        <v>35977.86</v>
      </c>
      <c r="L42" s="30">
        <v>35906.19</v>
      </c>
      <c r="M42" s="30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36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27" t="s">
        <v>88</v>
      </c>
      <c r="B43" s="28" t="s">
        <v>378</v>
      </c>
      <c r="C43" s="29" t="s">
        <v>4</v>
      </c>
      <c r="D43" s="28" t="s">
        <v>379</v>
      </c>
      <c r="E43" s="30">
        <v>23752.54</v>
      </c>
      <c r="F43" s="30">
        <v>23759.52</v>
      </c>
      <c r="G43" s="30">
        <v>23752.62</v>
      </c>
      <c r="H43" s="30">
        <v>23752.82</v>
      </c>
      <c r="I43" s="30">
        <v>23759.52</v>
      </c>
      <c r="J43" s="30">
        <v>23781.18</v>
      </c>
      <c r="K43" s="30">
        <v>23811.91</v>
      </c>
      <c r="L43" s="30">
        <v>23762.71</v>
      </c>
      <c r="M43" s="30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36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5">
      <c r="A44" s="27" t="s">
        <v>89</v>
      </c>
      <c r="B44" s="28" t="s">
        <v>380</v>
      </c>
      <c r="C44" s="29" t="s">
        <v>4</v>
      </c>
      <c r="D44" s="28" t="s">
        <v>381</v>
      </c>
      <c r="E44" s="30">
        <v>22886.53</v>
      </c>
      <c r="F44" s="30">
        <v>22955.34</v>
      </c>
      <c r="G44" s="30">
        <v>22886.55</v>
      </c>
      <c r="H44" s="30">
        <v>22886.82</v>
      </c>
      <c r="I44" s="30">
        <v>22893.45</v>
      </c>
      <c r="J44" s="30">
        <v>22978.880000000001</v>
      </c>
      <c r="K44" s="30">
        <v>22943.73</v>
      </c>
      <c r="L44" s="30">
        <v>22900.26</v>
      </c>
      <c r="M44" s="3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36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x14ac:dyDescent="0.25">
      <c r="A45" s="27" t="s">
        <v>90</v>
      </c>
      <c r="B45" s="28" t="s">
        <v>382</v>
      </c>
      <c r="C45" s="29" t="s">
        <v>4</v>
      </c>
      <c r="D45" s="28" t="s">
        <v>383</v>
      </c>
      <c r="E45" s="30">
        <v>24760.83</v>
      </c>
      <c r="F45" s="30">
        <v>24835.3</v>
      </c>
      <c r="G45" s="30">
        <v>24764.32</v>
      </c>
      <c r="H45" s="30">
        <v>24760.880000000001</v>
      </c>
      <c r="I45" s="30">
        <v>24766.27</v>
      </c>
      <c r="J45" s="30">
        <v>24790.75</v>
      </c>
      <c r="K45" s="30">
        <v>24822.73</v>
      </c>
      <c r="L45" s="30">
        <v>24778.33</v>
      </c>
      <c r="M45" s="30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36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x14ac:dyDescent="0.25">
      <c r="A46" s="27" t="s">
        <v>29</v>
      </c>
      <c r="B46" s="28" t="s">
        <v>384</v>
      </c>
      <c r="C46" s="29" t="s">
        <v>4</v>
      </c>
      <c r="D46" s="28" t="s">
        <v>385</v>
      </c>
      <c r="E46" s="30">
        <v>19273.05</v>
      </c>
      <c r="F46" s="30">
        <v>19331.04</v>
      </c>
      <c r="G46" s="30">
        <v>19273.060000000001</v>
      </c>
      <c r="H46" s="30">
        <v>19273.490000000002</v>
      </c>
      <c r="I46" s="30">
        <v>19279.86</v>
      </c>
      <c r="J46" s="30">
        <v>19280.61</v>
      </c>
      <c r="K46" s="30">
        <v>19321.23</v>
      </c>
      <c r="L46" s="30">
        <v>19279.580000000002</v>
      </c>
      <c r="M46" s="30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36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x14ac:dyDescent="0.25">
      <c r="A47" s="27" t="s">
        <v>92</v>
      </c>
      <c r="B47" s="28" t="s">
        <v>386</v>
      </c>
      <c r="C47" s="29" t="s">
        <v>4</v>
      </c>
      <c r="D47" s="28" t="s">
        <v>387</v>
      </c>
      <c r="E47" s="30">
        <v>19997.849999999999</v>
      </c>
      <c r="F47" s="30">
        <v>20057.57</v>
      </c>
      <c r="G47" s="30">
        <v>19997.86</v>
      </c>
      <c r="H47" s="30">
        <v>19998.080000000002</v>
      </c>
      <c r="I47" s="30">
        <v>20004.02</v>
      </c>
      <c r="J47" s="30">
        <v>20002.189999999999</v>
      </c>
      <c r="K47" s="30">
        <v>20047.84</v>
      </c>
      <c r="L47" s="30">
        <v>20001.009999999998</v>
      </c>
      <c r="M47" s="30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36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x14ac:dyDescent="0.25">
      <c r="A48" s="27" t="s">
        <v>93</v>
      </c>
      <c r="B48" s="28" t="s">
        <v>388</v>
      </c>
      <c r="C48" s="29" t="s">
        <v>4</v>
      </c>
      <c r="D48" s="28" t="s">
        <v>389</v>
      </c>
      <c r="E48" s="30">
        <v>21778.21</v>
      </c>
      <c r="F48" s="30">
        <v>21843.97</v>
      </c>
      <c r="G48" s="30">
        <v>21780.27</v>
      </c>
      <c r="H48" s="30">
        <v>21778.55</v>
      </c>
      <c r="I48" s="30">
        <v>21782.09</v>
      </c>
      <c r="J48" s="30">
        <v>21781.93</v>
      </c>
      <c r="K48" s="30">
        <v>21832.63</v>
      </c>
      <c r="L48" s="30">
        <v>21780.3</v>
      </c>
      <c r="M48" s="30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36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x14ac:dyDescent="0.25">
      <c r="A49" s="27" t="s">
        <v>30</v>
      </c>
      <c r="B49" s="28" t="s">
        <v>202</v>
      </c>
      <c r="C49" s="29" t="s">
        <v>4</v>
      </c>
      <c r="D49" s="28" t="s">
        <v>390</v>
      </c>
      <c r="E49" s="30">
        <v>21621.56</v>
      </c>
      <c r="F49" s="30">
        <v>21686.560000000001</v>
      </c>
      <c r="G49" s="30">
        <v>21621.71</v>
      </c>
      <c r="H49" s="30">
        <v>21621.89</v>
      </c>
      <c r="I49" s="30">
        <v>21625.86</v>
      </c>
      <c r="J49" s="30">
        <v>21632.67</v>
      </c>
      <c r="K49" s="30">
        <v>22511.35</v>
      </c>
      <c r="L49" s="30">
        <v>21633.06</v>
      </c>
      <c r="M49" s="30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36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x14ac:dyDescent="0.25">
      <c r="A50" s="27" t="s">
        <v>94</v>
      </c>
      <c r="B50" s="28" t="s">
        <v>391</v>
      </c>
      <c r="C50" s="29" t="s">
        <v>4</v>
      </c>
      <c r="D50" s="28" t="s">
        <v>392</v>
      </c>
      <c r="E50" s="30">
        <v>23429.54</v>
      </c>
      <c r="F50" s="30">
        <v>23436.93</v>
      </c>
      <c r="G50" s="30">
        <v>23429.56</v>
      </c>
      <c r="H50" s="30">
        <v>23429.599999999999</v>
      </c>
      <c r="I50" s="30">
        <v>23436.93</v>
      </c>
      <c r="J50" s="30">
        <v>23450.61</v>
      </c>
      <c r="K50" s="30">
        <v>24575.17</v>
      </c>
      <c r="L50" s="30">
        <v>23441.61</v>
      </c>
      <c r="M50" s="30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36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x14ac:dyDescent="0.25">
      <c r="A51" s="27" t="s">
        <v>95</v>
      </c>
      <c r="B51" s="28" t="s">
        <v>393</v>
      </c>
      <c r="C51" s="29" t="s">
        <v>4</v>
      </c>
      <c r="D51" s="28" t="s">
        <v>394</v>
      </c>
      <c r="E51" s="30">
        <v>19113.32</v>
      </c>
      <c r="F51" s="30">
        <v>19170.919999999998</v>
      </c>
      <c r="G51" s="30">
        <v>19113.73</v>
      </c>
      <c r="H51" s="30">
        <v>19113.830000000002</v>
      </c>
      <c r="I51" s="30">
        <v>19117.36</v>
      </c>
      <c r="J51" s="30">
        <v>19134.43</v>
      </c>
      <c r="K51" s="30">
        <v>20299.38</v>
      </c>
      <c r="L51" s="30">
        <v>19122.439999999999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5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x14ac:dyDescent="0.25">
      <c r="A52" s="27" t="s">
        <v>96</v>
      </c>
      <c r="B52" s="28" t="s">
        <v>395</v>
      </c>
      <c r="C52" s="29" t="s">
        <v>4</v>
      </c>
      <c r="D52" s="28" t="s">
        <v>396</v>
      </c>
      <c r="E52" s="30">
        <v>21887.85</v>
      </c>
      <c r="F52" s="30">
        <v>21953.73</v>
      </c>
      <c r="G52" s="30">
        <v>21888.33</v>
      </c>
      <c r="H52" s="30">
        <v>21887.96</v>
      </c>
      <c r="I52" s="30">
        <v>21891.84</v>
      </c>
      <c r="J52" s="30">
        <v>21913.24</v>
      </c>
      <c r="K52" s="30">
        <v>21942.54</v>
      </c>
      <c r="L52" s="30">
        <v>21903.37</v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5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x14ac:dyDescent="0.25">
      <c r="A53" s="27" t="s">
        <v>97</v>
      </c>
      <c r="B53" s="28" t="s">
        <v>397</v>
      </c>
      <c r="C53" s="29" t="s">
        <v>4</v>
      </c>
      <c r="D53" s="28" t="s">
        <v>398</v>
      </c>
      <c r="E53" s="30">
        <v>24064.6</v>
      </c>
      <c r="F53" s="30">
        <v>24137.34</v>
      </c>
      <c r="G53" s="30">
        <v>24067.18</v>
      </c>
      <c r="H53" s="30">
        <v>24064.68</v>
      </c>
      <c r="I53" s="30">
        <v>24069.51</v>
      </c>
      <c r="J53" s="30">
        <v>24101.040000000001</v>
      </c>
      <c r="K53" s="30">
        <v>24124.74</v>
      </c>
      <c r="L53" s="30">
        <v>24081.8</v>
      </c>
      <c r="M53" s="30"/>
      <c r="N53" s="30"/>
      <c r="O53" s="30"/>
      <c r="P53" s="30"/>
      <c r="Q53" s="30"/>
      <c r="R53" s="30"/>
      <c r="S53" s="29"/>
      <c r="T53" s="30"/>
      <c r="U53" s="30"/>
      <c r="V53" s="30"/>
      <c r="W53" s="30"/>
      <c r="X53" s="30"/>
      <c r="Y53" s="30"/>
      <c r="Z53" s="35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x14ac:dyDescent="0.25">
      <c r="A54" s="27" t="s">
        <v>98</v>
      </c>
      <c r="B54" s="28" t="s">
        <v>399</v>
      </c>
      <c r="C54" s="29" t="s">
        <v>4</v>
      </c>
      <c r="D54" s="28" t="s">
        <v>400</v>
      </c>
      <c r="E54" s="30">
        <v>25859.599999999999</v>
      </c>
      <c r="F54" s="30">
        <v>25937.42</v>
      </c>
      <c r="G54" s="30">
        <v>25859.62</v>
      </c>
      <c r="H54" s="30">
        <v>25859.89</v>
      </c>
      <c r="I54" s="30">
        <v>25863.63</v>
      </c>
      <c r="J54" s="30">
        <v>25900.31</v>
      </c>
      <c r="K54" s="30">
        <v>25924.25</v>
      </c>
      <c r="L54" s="30">
        <v>25878.01</v>
      </c>
      <c r="M54" s="30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36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x14ac:dyDescent="0.25">
      <c r="A55" s="27" t="s">
        <v>99</v>
      </c>
      <c r="B55" s="28" t="s">
        <v>401</v>
      </c>
      <c r="C55" s="29" t="s">
        <v>4</v>
      </c>
      <c r="D55" s="28" t="s">
        <v>402</v>
      </c>
      <c r="E55" s="30">
        <v>27013.200000000001</v>
      </c>
      <c r="F55" s="30">
        <v>27094.74</v>
      </c>
      <c r="G55" s="30">
        <v>27013.22</v>
      </c>
      <c r="H55" s="30">
        <v>27013.21</v>
      </c>
      <c r="I55" s="30">
        <v>27018.57</v>
      </c>
      <c r="J55" s="30">
        <v>27035.01</v>
      </c>
      <c r="K55" s="30">
        <v>27080.73</v>
      </c>
      <c r="L55" s="30">
        <v>27031.69</v>
      </c>
      <c r="M55" s="30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36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x14ac:dyDescent="0.25">
      <c r="A56" s="27" t="s">
        <v>100</v>
      </c>
      <c r="B56" s="28" t="s">
        <v>203</v>
      </c>
      <c r="C56" s="29" t="s">
        <v>2</v>
      </c>
      <c r="D56" s="28" t="s">
        <v>403</v>
      </c>
      <c r="E56" s="30">
        <v>9750.0400000000009</v>
      </c>
      <c r="F56" s="30">
        <v>9779.35</v>
      </c>
      <c r="G56" s="30">
        <v>9750.06</v>
      </c>
      <c r="H56" s="30">
        <v>9750.0499999999993</v>
      </c>
      <c r="I56" s="30">
        <v>9753.17</v>
      </c>
      <c r="J56" s="30">
        <v>9752.7000000000007</v>
      </c>
      <c r="K56" s="30">
        <v>9774.42</v>
      </c>
      <c r="L56" s="30">
        <v>9755.3700000000008</v>
      </c>
      <c r="M56" s="30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36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x14ac:dyDescent="0.25">
      <c r="A57" s="27" t="s">
        <v>101</v>
      </c>
      <c r="B57" s="28" t="s">
        <v>404</v>
      </c>
      <c r="C57" s="29" t="s">
        <v>4</v>
      </c>
      <c r="D57" s="28" t="s">
        <v>405</v>
      </c>
      <c r="E57" s="30">
        <v>19730.89</v>
      </c>
      <c r="F57" s="30">
        <v>19737.11</v>
      </c>
      <c r="G57" s="30">
        <v>19730.900000000001</v>
      </c>
      <c r="H57" s="30">
        <v>19730.88</v>
      </c>
      <c r="I57" s="30">
        <v>19737.11</v>
      </c>
      <c r="J57" s="30">
        <v>24608.42</v>
      </c>
      <c r="K57" s="30">
        <v>19780.2</v>
      </c>
      <c r="L57" s="30">
        <v>19734.490000000002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5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x14ac:dyDescent="0.25">
      <c r="A58" s="27" t="s">
        <v>102</v>
      </c>
      <c r="B58" s="28" t="s">
        <v>406</v>
      </c>
      <c r="C58" s="29" t="s">
        <v>4</v>
      </c>
      <c r="D58" s="28" t="s">
        <v>407</v>
      </c>
      <c r="E58" s="30">
        <v>23045.06</v>
      </c>
      <c r="F58" s="30">
        <v>23052.81</v>
      </c>
      <c r="G58" s="30">
        <v>23045.1</v>
      </c>
      <c r="H58" s="30">
        <v>23045.61</v>
      </c>
      <c r="I58" s="30">
        <v>23052.81</v>
      </c>
      <c r="J58" s="30">
        <v>23054.87</v>
      </c>
      <c r="K58" s="30">
        <v>23102.66</v>
      </c>
      <c r="L58" s="30">
        <v>23052.65</v>
      </c>
      <c r="M58" s="30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36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x14ac:dyDescent="0.25">
      <c r="A59" s="27" t="s">
        <v>103</v>
      </c>
      <c r="B59" s="28" t="s">
        <v>408</v>
      </c>
      <c r="C59" s="29" t="s">
        <v>4</v>
      </c>
      <c r="D59" s="28" t="s">
        <v>409</v>
      </c>
      <c r="E59" s="30">
        <v>20107.39</v>
      </c>
      <c r="F59" s="30">
        <v>20168.52</v>
      </c>
      <c r="G59" s="30">
        <v>20107.650000000001</v>
      </c>
      <c r="H59" s="30">
        <v>20107.759999999998</v>
      </c>
      <c r="I59" s="30">
        <v>20111.39</v>
      </c>
      <c r="J59" s="30">
        <v>20134.8</v>
      </c>
      <c r="K59" s="30">
        <v>20157.650000000001</v>
      </c>
      <c r="L59" s="30">
        <v>20116.900000000001</v>
      </c>
      <c r="M59" s="30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36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x14ac:dyDescent="0.25">
      <c r="A60" s="27" t="s">
        <v>104</v>
      </c>
      <c r="B60" s="28" t="s">
        <v>410</v>
      </c>
      <c r="C60" s="29" t="s">
        <v>4</v>
      </c>
      <c r="D60" s="28" t="s">
        <v>411</v>
      </c>
      <c r="E60" s="30">
        <v>24384.560000000001</v>
      </c>
      <c r="F60" s="30">
        <v>24391.67</v>
      </c>
      <c r="G60" s="30">
        <v>24386</v>
      </c>
      <c r="H60" s="30">
        <v>24385.01</v>
      </c>
      <c r="I60" s="30">
        <v>24391.67</v>
      </c>
      <c r="J60" s="30">
        <v>24405.73</v>
      </c>
      <c r="K60" s="30">
        <v>24445.51</v>
      </c>
      <c r="L60" s="30">
        <v>24391.599999999999</v>
      </c>
      <c r="M60" s="30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36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x14ac:dyDescent="0.25">
      <c r="A61" s="27" t="s">
        <v>412</v>
      </c>
      <c r="B61" s="28" t="s">
        <v>413</v>
      </c>
      <c r="C61" s="29" t="s">
        <v>4</v>
      </c>
      <c r="D61" s="28" t="s">
        <v>414</v>
      </c>
      <c r="E61" s="30">
        <v>21392.69</v>
      </c>
      <c r="F61" s="30">
        <v>21399.91</v>
      </c>
      <c r="G61" s="30">
        <v>21392.69</v>
      </c>
      <c r="H61" s="30">
        <v>21392.71</v>
      </c>
      <c r="I61" s="30">
        <v>21396.33</v>
      </c>
      <c r="J61" s="30">
        <v>21415.05</v>
      </c>
      <c r="K61" s="30">
        <v>21446.17</v>
      </c>
      <c r="L61" s="30">
        <v>21397.14</v>
      </c>
      <c r="M61" s="30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36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x14ac:dyDescent="0.25">
      <c r="A62" s="27" t="s">
        <v>415</v>
      </c>
      <c r="B62" s="28" t="s">
        <v>416</v>
      </c>
      <c r="C62" s="29" t="s">
        <v>4</v>
      </c>
      <c r="D62" s="28" t="s">
        <v>417</v>
      </c>
      <c r="E62" s="30">
        <v>27261.58</v>
      </c>
      <c r="F62" s="30">
        <v>27280.38</v>
      </c>
      <c r="G62" s="30">
        <v>27261.59</v>
      </c>
      <c r="H62" s="30">
        <v>27261.599999999999</v>
      </c>
      <c r="I62" s="30">
        <v>27269.47</v>
      </c>
      <c r="J62" s="30">
        <v>27293.49</v>
      </c>
      <c r="K62" s="30">
        <v>27329.73</v>
      </c>
      <c r="L62" s="30">
        <v>27269.58</v>
      </c>
      <c r="M62" s="30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36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x14ac:dyDescent="0.25">
      <c r="A63" s="27" t="s">
        <v>31</v>
      </c>
      <c r="B63" s="28" t="s">
        <v>205</v>
      </c>
      <c r="C63" s="29" t="s">
        <v>12</v>
      </c>
      <c r="D63" s="28" t="s">
        <v>418</v>
      </c>
      <c r="E63" s="30">
        <v>41384.1</v>
      </c>
      <c r="F63" s="30">
        <v>41397.1</v>
      </c>
      <c r="G63" s="30">
        <v>41384.18</v>
      </c>
      <c r="H63" s="30">
        <v>41384.42</v>
      </c>
      <c r="I63" s="30">
        <v>41397.1</v>
      </c>
      <c r="J63" s="30">
        <v>42537.31</v>
      </c>
      <c r="K63" s="30">
        <v>41487.56</v>
      </c>
      <c r="L63" s="30">
        <v>41421.019999999997</v>
      </c>
      <c r="M63" s="30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36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x14ac:dyDescent="0.25">
      <c r="A64" s="27" t="s">
        <v>166</v>
      </c>
      <c r="B64" s="28" t="s">
        <v>206</v>
      </c>
      <c r="C64" s="29" t="s">
        <v>4</v>
      </c>
      <c r="D64" s="28" t="s">
        <v>419</v>
      </c>
      <c r="E64" s="30">
        <v>69535.81</v>
      </c>
      <c r="F64" s="30">
        <v>69745.88</v>
      </c>
      <c r="G64" s="30">
        <v>69671.7</v>
      </c>
      <c r="H64" s="30">
        <v>69535.8</v>
      </c>
      <c r="I64" s="30">
        <v>69745.88</v>
      </c>
      <c r="J64" s="30">
        <v>69596.679999999993</v>
      </c>
      <c r="K64" s="30">
        <v>69709.63</v>
      </c>
      <c r="L64" s="30">
        <v>69614.179999999993</v>
      </c>
      <c r="M64" s="30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36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x14ac:dyDescent="0.25">
      <c r="A65" s="27" t="s">
        <v>63</v>
      </c>
      <c r="B65" s="28" t="s">
        <v>207</v>
      </c>
      <c r="C65" s="29" t="s">
        <v>4</v>
      </c>
      <c r="D65" s="28" t="s">
        <v>420</v>
      </c>
      <c r="E65" s="30">
        <v>80892.009999999995</v>
      </c>
      <c r="F65" s="30">
        <v>81135.92</v>
      </c>
      <c r="G65" s="30">
        <v>80892.009999999995</v>
      </c>
      <c r="H65" s="30">
        <v>80892.210000000006</v>
      </c>
      <c r="I65" s="30">
        <v>81135.92</v>
      </c>
      <c r="J65" s="30">
        <v>80933.740000000005</v>
      </c>
      <c r="K65" s="30">
        <v>81094.23</v>
      </c>
      <c r="L65" s="30">
        <v>80947.22</v>
      </c>
      <c r="M65" s="30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36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x14ac:dyDescent="0.25">
      <c r="A66" s="27" t="s">
        <v>32</v>
      </c>
      <c r="B66" s="28" t="s">
        <v>208</v>
      </c>
      <c r="C66" s="29" t="s">
        <v>4</v>
      </c>
      <c r="D66" s="28" t="s">
        <v>421</v>
      </c>
      <c r="E66" s="30">
        <v>81338.12</v>
      </c>
      <c r="F66" s="30">
        <v>81378.55</v>
      </c>
      <c r="G66" s="30">
        <v>81338.16</v>
      </c>
      <c r="H66" s="30">
        <v>81338.429999999993</v>
      </c>
      <c r="I66" s="30">
        <v>81378.55</v>
      </c>
      <c r="J66" s="30">
        <v>81344.91</v>
      </c>
      <c r="K66" s="30">
        <v>81541.47</v>
      </c>
      <c r="L66" s="30">
        <v>81345.64</v>
      </c>
      <c r="M66" s="30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36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x14ac:dyDescent="0.25">
      <c r="A67" s="27" t="s">
        <v>33</v>
      </c>
      <c r="B67" s="28" t="s">
        <v>209</v>
      </c>
      <c r="C67" s="29" t="s">
        <v>4</v>
      </c>
      <c r="D67" s="28" t="s">
        <v>422</v>
      </c>
      <c r="E67" s="30">
        <v>98188.79</v>
      </c>
      <c r="F67" s="30">
        <v>98218.9</v>
      </c>
      <c r="G67" s="30">
        <v>98188.82</v>
      </c>
      <c r="H67" s="30">
        <v>98189.21</v>
      </c>
      <c r="I67" s="30">
        <v>98218.9</v>
      </c>
      <c r="J67" s="30">
        <v>98264.3</v>
      </c>
      <c r="K67" s="30">
        <v>98434.240000000005</v>
      </c>
      <c r="L67" s="30">
        <v>98367.88</v>
      </c>
      <c r="M67" s="30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36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x14ac:dyDescent="0.25">
      <c r="A68" s="27" t="s">
        <v>34</v>
      </c>
      <c r="B68" s="28" t="s">
        <v>210</v>
      </c>
      <c r="C68" s="29" t="s">
        <v>35</v>
      </c>
      <c r="D68" s="28" t="s">
        <v>423</v>
      </c>
      <c r="E68" s="30">
        <v>100904.28</v>
      </c>
      <c r="F68" s="30">
        <v>101208.54</v>
      </c>
      <c r="G68" s="30">
        <v>100904.28</v>
      </c>
      <c r="H68" s="30">
        <v>100904.6</v>
      </c>
      <c r="I68" s="30">
        <v>101208.53</v>
      </c>
      <c r="J68" s="30">
        <v>100984.8</v>
      </c>
      <c r="K68" s="30">
        <v>101024.3</v>
      </c>
      <c r="L68" s="30">
        <v>101045.68</v>
      </c>
      <c r="M68" s="30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36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x14ac:dyDescent="0.25">
      <c r="A69" s="27" t="s">
        <v>36</v>
      </c>
      <c r="B69" s="28" t="s">
        <v>211</v>
      </c>
      <c r="C69" s="29" t="s">
        <v>35</v>
      </c>
      <c r="D69" s="28" t="s">
        <v>424</v>
      </c>
      <c r="E69" s="30">
        <v>75295.7</v>
      </c>
      <c r="F69" s="30">
        <v>75522.62</v>
      </c>
      <c r="G69" s="30">
        <v>75295.69</v>
      </c>
      <c r="H69" s="30">
        <v>75295.69</v>
      </c>
      <c r="I69" s="30">
        <v>75522.62</v>
      </c>
      <c r="J69" s="30">
        <v>75537.509999999995</v>
      </c>
      <c r="K69" s="30">
        <v>75483.92</v>
      </c>
      <c r="L69" s="30">
        <v>75318.210000000006</v>
      </c>
      <c r="M69" s="30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36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x14ac:dyDescent="0.25">
      <c r="A70" s="27" t="s">
        <v>37</v>
      </c>
      <c r="B70" s="28" t="s">
        <v>425</v>
      </c>
      <c r="C70" s="29" t="s">
        <v>4</v>
      </c>
      <c r="D70" s="28" t="s">
        <v>426</v>
      </c>
      <c r="E70" s="30">
        <v>10801.08</v>
      </c>
      <c r="F70" s="30">
        <v>10804.52</v>
      </c>
      <c r="G70" s="30">
        <v>10802.49</v>
      </c>
      <c r="H70" s="30">
        <v>10801.1</v>
      </c>
      <c r="I70" s="30">
        <v>10804.52</v>
      </c>
      <c r="J70" s="30">
        <v>10811.1</v>
      </c>
      <c r="K70" s="30">
        <v>13248.33</v>
      </c>
      <c r="L70" s="30">
        <v>10806.42</v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5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x14ac:dyDescent="0.25">
      <c r="A71" s="27" t="s">
        <v>38</v>
      </c>
      <c r="B71" s="28" t="s">
        <v>427</v>
      </c>
      <c r="C71" s="29" t="s">
        <v>4</v>
      </c>
      <c r="D71" s="28" t="s">
        <v>428</v>
      </c>
      <c r="E71" s="30">
        <v>10380.56</v>
      </c>
      <c r="F71" s="30">
        <v>10383.82</v>
      </c>
      <c r="G71" s="30">
        <v>10381.700000000001</v>
      </c>
      <c r="H71" s="30">
        <v>10380.57</v>
      </c>
      <c r="I71" s="30">
        <v>10383.82</v>
      </c>
      <c r="J71" s="30">
        <v>10389.459999999999</v>
      </c>
      <c r="K71" s="30">
        <v>12265.59</v>
      </c>
      <c r="L71" s="30">
        <v>10386.32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5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x14ac:dyDescent="0.25">
      <c r="A72" s="27" t="s">
        <v>39</v>
      </c>
      <c r="B72" s="28" t="s">
        <v>429</v>
      </c>
      <c r="C72" s="29" t="s">
        <v>4</v>
      </c>
      <c r="D72" s="28" t="s">
        <v>430</v>
      </c>
      <c r="E72" s="30">
        <v>11927.91</v>
      </c>
      <c r="F72" s="30">
        <v>11931.57</v>
      </c>
      <c r="G72" s="30">
        <v>11928.2</v>
      </c>
      <c r="H72" s="30">
        <v>11928.3</v>
      </c>
      <c r="I72" s="30">
        <v>11931.57</v>
      </c>
      <c r="J72" s="30">
        <v>11938</v>
      </c>
      <c r="K72" s="30">
        <v>12052.79</v>
      </c>
      <c r="L72" s="30">
        <v>11932.44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5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x14ac:dyDescent="0.25">
      <c r="A73" s="27" t="s">
        <v>40</v>
      </c>
      <c r="B73" s="28" t="s">
        <v>431</v>
      </c>
      <c r="C73" s="29" t="s">
        <v>4</v>
      </c>
      <c r="D73" s="28" t="s">
        <v>432</v>
      </c>
      <c r="E73" s="30">
        <v>15294.41</v>
      </c>
      <c r="F73" s="30">
        <v>15299.4</v>
      </c>
      <c r="G73" s="30">
        <v>15294.43</v>
      </c>
      <c r="H73" s="30">
        <v>15294.91</v>
      </c>
      <c r="I73" s="30">
        <v>15299.4</v>
      </c>
      <c r="J73" s="30">
        <v>15323.37</v>
      </c>
      <c r="K73" s="30">
        <v>15921.68</v>
      </c>
      <c r="L73" s="30">
        <v>15301.74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5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1:35" x14ac:dyDescent="0.25">
      <c r="A74" s="27" t="s">
        <v>41</v>
      </c>
      <c r="B74" s="28" t="s">
        <v>433</v>
      </c>
      <c r="C74" s="29" t="s">
        <v>4</v>
      </c>
      <c r="D74" s="28" t="s">
        <v>434</v>
      </c>
      <c r="E74" s="30">
        <v>3592.39</v>
      </c>
      <c r="F74" s="30">
        <v>3593.73</v>
      </c>
      <c r="G74" s="30">
        <v>3592.41</v>
      </c>
      <c r="H74" s="30">
        <v>3592.41</v>
      </c>
      <c r="I74" s="30">
        <v>3593.73</v>
      </c>
      <c r="J74" s="30">
        <v>3602.46</v>
      </c>
      <c r="K74" s="30">
        <v>3949.09</v>
      </c>
      <c r="L74" s="30">
        <v>3593.32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5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1:35" x14ac:dyDescent="0.25">
      <c r="A75" s="27" t="s">
        <v>42</v>
      </c>
      <c r="B75" s="28" t="s">
        <v>435</v>
      </c>
      <c r="C75" s="29" t="s">
        <v>4</v>
      </c>
      <c r="D75" s="28" t="s">
        <v>436</v>
      </c>
      <c r="E75" s="30">
        <v>4062.48</v>
      </c>
      <c r="F75" s="30">
        <v>4074.7</v>
      </c>
      <c r="G75" s="30">
        <v>4062.49</v>
      </c>
      <c r="H75" s="30">
        <v>4062.73</v>
      </c>
      <c r="I75" s="30">
        <v>4074.7</v>
      </c>
      <c r="J75" s="30">
        <v>4076.23</v>
      </c>
      <c r="K75" s="30">
        <v>4218.1899999999996</v>
      </c>
      <c r="L75" s="30">
        <v>4063.59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5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x14ac:dyDescent="0.25">
      <c r="A76" s="27" t="s">
        <v>43</v>
      </c>
      <c r="B76" s="28" t="s">
        <v>427</v>
      </c>
      <c r="C76" s="29" t="s">
        <v>4</v>
      </c>
      <c r="D76" s="28" t="s">
        <v>437</v>
      </c>
      <c r="E76" s="30">
        <v>3738.96</v>
      </c>
      <c r="F76" s="30">
        <v>3750.2</v>
      </c>
      <c r="G76" s="30">
        <v>3738.98</v>
      </c>
      <c r="H76" s="30">
        <v>3738.96</v>
      </c>
      <c r="I76" s="30">
        <v>3750.2</v>
      </c>
      <c r="J76" s="30">
        <v>3741.35</v>
      </c>
      <c r="K76" s="30">
        <v>3949.09</v>
      </c>
      <c r="L76" s="30">
        <v>3739.91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5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x14ac:dyDescent="0.25">
      <c r="A77" s="27" t="s">
        <v>44</v>
      </c>
      <c r="B77" s="28" t="s">
        <v>438</v>
      </c>
      <c r="C77" s="29" t="s">
        <v>35</v>
      </c>
      <c r="D77" s="28" t="s">
        <v>439</v>
      </c>
      <c r="E77" s="30">
        <v>3280.68</v>
      </c>
      <c r="F77" s="30">
        <v>3290.64</v>
      </c>
      <c r="G77" s="30">
        <v>3280.7</v>
      </c>
      <c r="H77" s="30">
        <v>3280.73</v>
      </c>
      <c r="I77" s="30">
        <v>3290.64</v>
      </c>
      <c r="J77" s="30">
        <v>3287.45</v>
      </c>
      <c r="K77" s="30">
        <v>3568.62</v>
      </c>
      <c r="L77" s="30">
        <v>3281.88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5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x14ac:dyDescent="0.25">
      <c r="A78" s="27" t="s">
        <v>45</v>
      </c>
      <c r="B78" s="28" t="s">
        <v>440</v>
      </c>
      <c r="C78" s="29" t="s">
        <v>35</v>
      </c>
      <c r="D78" s="28" t="s">
        <v>441</v>
      </c>
      <c r="E78" s="30">
        <v>19850.72</v>
      </c>
      <c r="F78" s="30">
        <v>19910.46</v>
      </c>
      <c r="G78" s="30">
        <v>19850.91</v>
      </c>
      <c r="H78" s="30">
        <v>19850.73</v>
      </c>
      <c r="I78" s="30">
        <v>19910.46</v>
      </c>
      <c r="J78" s="30">
        <v>19874.7</v>
      </c>
      <c r="K78" s="30">
        <v>19900.330000000002</v>
      </c>
      <c r="L78" s="30">
        <v>19872.41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5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1:35" x14ac:dyDescent="0.25">
      <c r="A79" s="27" t="s">
        <v>46</v>
      </c>
      <c r="B79" s="28" t="s">
        <v>442</v>
      </c>
      <c r="C79" s="29" t="s">
        <v>35</v>
      </c>
      <c r="D79" s="28" t="s">
        <v>443</v>
      </c>
      <c r="E79" s="30">
        <v>30547.58</v>
      </c>
      <c r="F79" s="30">
        <v>30639.54</v>
      </c>
      <c r="G79" s="30">
        <v>30547.59</v>
      </c>
      <c r="H79" s="30">
        <v>30548.97</v>
      </c>
      <c r="I79" s="30">
        <v>30639.53</v>
      </c>
      <c r="J79" s="30">
        <v>30610.83</v>
      </c>
      <c r="K79" s="30">
        <v>30623.95</v>
      </c>
      <c r="L79" s="30">
        <v>30572.080000000002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5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x14ac:dyDescent="0.25">
      <c r="A80" s="27" t="s">
        <v>48</v>
      </c>
      <c r="B80" s="28" t="s">
        <v>444</v>
      </c>
      <c r="C80" s="29" t="s">
        <v>4</v>
      </c>
      <c r="D80" s="28" t="s">
        <v>445</v>
      </c>
      <c r="E80" s="30">
        <v>4121.9399999999996</v>
      </c>
      <c r="F80" s="30">
        <v>4134.3599999999997</v>
      </c>
      <c r="G80" s="30">
        <v>4121.95</v>
      </c>
      <c r="H80" s="30">
        <v>4121.95</v>
      </c>
      <c r="I80" s="30">
        <v>4134.3599999999997</v>
      </c>
      <c r="J80" s="30">
        <v>4124.8599999999997</v>
      </c>
      <c r="K80" s="30">
        <v>4132.24</v>
      </c>
      <c r="L80" s="30">
        <v>4123.72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5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x14ac:dyDescent="0.25">
      <c r="A81" s="27" t="s">
        <v>49</v>
      </c>
      <c r="B81" s="28" t="s">
        <v>446</v>
      </c>
      <c r="C81" s="29" t="s">
        <v>4</v>
      </c>
      <c r="D81" s="28" t="s">
        <v>447</v>
      </c>
      <c r="E81" s="30">
        <v>824.67</v>
      </c>
      <c r="F81" s="30">
        <v>827.16</v>
      </c>
      <c r="G81" s="30">
        <v>824.7</v>
      </c>
      <c r="H81" s="30">
        <v>824.67</v>
      </c>
      <c r="I81" s="30">
        <v>827.16</v>
      </c>
      <c r="J81" s="30">
        <v>824.95</v>
      </c>
      <c r="K81" s="30">
        <v>826.72</v>
      </c>
      <c r="L81" s="30">
        <v>824.87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5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x14ac:dyDescent="0.25">
      <c r="A82" s="27" t="s">
        <v>50</v>
      </c>
      <c r="B82" s="28" t="s">
        <v>185</v>
      </c>
      <c r="C82" s="29" t="s">
        <v>4</v>
      </c>
      <c r="D82" s="28" t="s">
        <v>448</v>
      </c>
      <c r="E82" s="30">
        <v>22341.599999999999</v>
      </c>
      <c r="F82" s="30">
        <v>22408.61</v>
      </c>
      <c r="G82" s="30">
        <v>22341.62</v>
      </c>
      <c r="H82" s="30">
        <v>22341.63</v>
      </c>
      <c r="I82" s="30">
        <v>22408.61</v>
      </c>
      <c r="J82" s="30">
        <v>22468.99</v>
      </c>
      <c r="K82" s="30">
        <v>23862.59</v>
      </c>
      <c r="L82" s="30">
        <v>22353.360000000001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5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x14ac:dyDescent="0.25">
      <c r="A83" s="27" t="s">
        <v>51</v>
      </c>
      <c r="B83" s="28" t="s">
        <v>186</v>
      </c>
      <c r="C83" s="29" t="s">
        <v>4</v>
      </c>
      <c r="D83" s="28" t="s">
        <v>449</v>
      </c>
      <c r="E83" s="30">
        <v>25423.200000000001</v>
      </c>
      <c r="F83" s="30">
        <v>25500.7</v>
      </c>
      <c r="G83" s="30">
        <v>25423.24</v>
      </c>
      <c r="H83" s="30">
        <v>25423.23</v>
      </c>
      <c r="I83" s="30">
        <v>25500.7</v>
      </c>
      <c r="J83" s="30">
        <v>25453.22</v>
      </c>
      <c r="K83" s="30">
        <v>27197.37</v>
      </c>
      <c r="L83" s="30">
        <v>25443.19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5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x14ac:dyDescent="0.25">
      <c r="A84" s="27" t="s">
        <v>52</v>
      </c>
      <c r="B84" s="28" t="s">
        <v>187</v>
      </c>
      <c r="C84" s="29" t="s">
        <v>4</v>
      </c>
      <c r="D84" s="28" t="s">
        <v>450</v>
      </c>
      <c r="E84" s="30">
        <v>19383.28</v>
      </c>
      <c r="F84" s="30">
        <v>19441.8</v>
      </c>
      <c r="G84" s="30">
        <v>19385.89</v>
      </c>
      <c r="H84" s="30">
        <v>19383.87</v>
      </c>
      <c r="I84" s="30">
        <v>19441.8</v>
      </c>
      <c r="J84" s="30">
        <v>19388.3</v>
      </c>
      <c r="K84" s="30">
        <v>20244.16</v>
      </c>
      <c r="L84" s="30">
        <v>19393.23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5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x14ac:dyDescent="0.25">
      <c r="A85" s="27" t="s">
        <v>105</v>
      </c>
      <c r="B85" s="28" t="s">
        <v>223</v>
      </c>
      <c r="C85" s="29" t="s">
        <v>54</v>
      </c>
      <c r="D85" s="28" t="s">
        <v>451</v>
      </c>
      <c r="E85" s="30">
        <v>73806.899999999994</v>
      </c>
      <c r="F85" s="30">
        <v>73818.48</v>
      </c>
      <c r="G85" s="30">
        <v>73806.929999999993</v>
      </c>
      <c r="H85" s="30">
        <v>73806.899999999994</v>
      </c>
      <c r="I85" s="30">
        <v>73818.48</v>
      </c>
      <c r="J85" s="30">
        <v>73877.41</v>
      </c>
      <c r="K85" s="30">
        <v>73991.42</v>
      </c>
      <c r="L85" s="30">
        <v>73843.740000000005</v>
      </c>
      <c r="M85" s="30"/>
      <c r="N85" s="30"/>
      <c r="O85" s="30"/>
      <c r="P85" s="30"/>
      <c r="Q85" s="30"/>
      <c r="R85" s="30"/>
      <c r="S85" s="29"/>
      <c r="T85" s="30"/>
      <c r="U85" s="30"/>
      <c r="V85" s="30"/>
      <c r="W85" s="30"/>
      <c r="X85" s="30"/>
      <c r="Y85" s="30"/>
      <c r="Z85" s="35"/>
      <c r="AA85" s="10"/>
      <c r="AB85" s="10"/>
      <c r="AC85" s="10"/>
      <c r="AD85" s="10"/>
      <c r="AE85" s="10"/>
      <c r="AF85" s="10"/>
      <c r="AG85" s="10"/>
      <c r="AH85" s="10"/>
      <c r="AI85" s="10"/>
    </row>
    <row r="86" spans="1:35" x14ac:dyDescent="0.25">
      <c r="A86" s="27" t="s">
        <v>106</v>
      </c>
      <c r="B86" s="28" t="s">
        <v>107</v>
      </c>
      <c r="C86" s="29" t="s">
        <v>4</v>
      </c>
      <c r="D86" s="28" t="s">
        <v>452</v>
      </c>
      <c r="E86" s="30">
        <v>5943.64</v>
      </c>
      <c r="F86" s="30">
        <v>5946.17</v>
      </c>
      <c r="G86" s="30">
        <v>5943.67</v>
      </c>
      <c r="H86" s="30">
        <v>5943.66</v>
      </c>
      <c r="I86" s="30">
        <v>5946.17</v>
      </c>
      <c r="J86" s="30">
        <v>5946.06</v>
      </c>
      <c r="K86" s="30">
        <v>5958.5</v>
      </c>
      <c r="L86" s="30">
        <v>5945.9</v>
      </c>
      <c r="M86" s="30"/>
      <c r="N86" s="30"/>
      <c r="O86" s="30"/>
      <c r="P86" s="30"/>
      <c r="Q86" s="30"/>
      <c r="R86" s="30"/>
      <c r="S86" s="29"/>
      <c r="T86" s="30"/>
      <c r="U86" s="30"/>
      <c r="V86" s="30"/>
      <c r="W86" s="30"/>
      <c r="X86" s="30"/>
      <c r="Y86" s="30"/>
      <c r="Z86" s="35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1:35" x14ac:dyDescent="0.25">
      <c r="A87" s="27" t="s">
        <v>108</v>
      </c>
      <c r="B87" s="28" t="s">
        <v>453</v>
      </c>
      <c r="C87" s="29" t="s">
        <v>4</v>
      </c>
      <c r="D87" s="28" t="s">
        <v>454</v>
      </c>
      <c r="E87" s="30">
        <v>8683.33</v>
      </c>
      <c r="F87" s="30">
        <v>8685.14</v>
      </c>
      <c r="G87" s="30">
        <v>8683.36</v>
      </c>
      <c r="H87" s="30">
        <v>8683.36</v>
      </c>
      <c r="I87" s="30">
        <v>8685.25</v>
      </c>
      <c r="J87" s="30">
        <v>9617.36</v>
      </c>
      <c r="K87" s="30">
        <v>8705.02</v>
      </c>
      <c r="L87" s="30">
        <v>8686.75</v>
      </c>
      <c r="M87" s="30"/>
      <c r="N87" s="30"/>
      <c r="O87" s="30"/>
      <c r="P87" s="30"/>
      <c r="Q87" s="30"/>
      <c r="R87" s="30"/>
      <c r="S87" s="29"/>
      <c r="T87" s="30"/>
      <c r="U87" s="30"/>
      <c r="V87" s="30"/>
      <c r="W87" s="30"/>
      <c r="X87" s="30"/>
      <c r="Y87" s="30"/>
      <c r="Z87" s="35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x14ac:dyDescent="0.25">
      <c r="A88" s="27" t="s">
        <v>109</v>
      </c>
      <c r="B88" s="28" t="s">
        <v>455</v>
      </c>
      <c r="C88" s="29" t="s">
        <v>4</v>
      </c>
      <c r="D88" s="28" t="s">
        <v>456</v>
      </c>
      <c r="E88" s="30">
        <v>9248.91</v>
      </c>
      <c r="F88" s="30">
        <v>9254.16</v>
      </c>
      <c r="G88" s="30">
        <v>9248.93</v>
      </c>
      <c r="H88" s="30">
        <v>9248.9699999999993</v>
      </c>
      <c r="I88" s="30">
        <v>9252.0499999999993</v>
      </c>
      <c r="J88" s="30">
        <v>9253.36</v>
      </c>
      <c r="K88" s="30">
        <v>9272.02</v>
      </c>
      <c r="L88" s="30">
        <v>9256.5300000000007</v>
      </c>
      <c r="M88" s="30"/>
      <c r="N88" s="30"/>
      <c r="O88" s="30"/>
      <c r="P88" s="30"/>
      <c r="Q88" s="30"/>
      <c r="R88" s="30"/>
      <c r="S88" s="29"/>
      <c r="T88" s="30"/>
      <c r="U88" s="30"/>
      <c r="V88" s="30"/>
      <c r="W88" s="30"/>
      <c r="X88" s="30"/>
      <c r="Y88" s="30"/>
      <c r="Z88" s="35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x14ac:dyDescent="0.25">
      <c r="A89" s="27" t="s">
        <v>110</v>
      </c>
      <c r="B89" s="28" t="s">
        <v>457</v>
      </c>
      <c r="C89" s="29" t="s">
        <v>4</v>
      </c>
      <c r="D89" s="28" t="s">
        <v>458</v>
      </c>
      <c r="E89" s="30">
        <v>12736.88</v>
      </c>
      <c r="F89" s="30">
        <v>12740.63</v>
      </c>
      <c r="G89" s="30">
        <v>12736.98</v>
      </c>
      <c r="H89" s="30">
        <v>12736.95</v>
      </c>
      <c r="I89" s="30">
        <v>12740.63</v>
      </c>
      <c r="J89" s="30">
        <v>12743.03</v>
      </c>
      <c r="K89" s="30">
        <v>12768.71</v>
      </c>
      <c r="L89" s="30">
        <v>12741.38</v>
      </c>
      <c r="M89" s="30"/>
      <c r="N89" s="30"/>
      <c r="O89" s="30"/>
      <c r="P89" s="30"/>
      <c r="Q89" s="30"/>
      <c r="R89" s="30"/>
      <c r="S89" s="29"/>
      <c r="T89" s="30"/>
      <c r="U89" s="30"/>
      <c r="V89" s="30"/>
      <c r="W89" s="30"/>
      <c r="X89" s="30"/>
      <c r="Y89" s="30"/>
      <c r="Z89" s="35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1:35" x14ac:dyDescent="0.25">
      <c r="A90" s="27" t="s">
        <v>111</v>
      </c>
      <c r="B90" s="28" t="s">
        <v>459</v>
      </c>
      <c r="C90" s="29" t="s">
        <v>4</v>
      </c>
      <c r="D90" s="28" t="s">
        <v>460</v>
      </c>
      <c r="E90" s="30">
        <v>11803</v>
      </c>
      <c r="F90" s="30">
        <v>11804.86</v>
      </c>
      <c r="G90" s="30">
        <v>11803.07</v>
      </c>
      <c r="H90" s="30">
        <v>11803.01</v>
      </c>
      <c r="I90" s="30">
        <v>11804.86</v>
      </c>
      <c r="J90" s="30">
        <v>11810.57</v>
      </c>
      <c r="K90" s="30">
        <v>11832.5</v>
      </c>
      <c r="L90" s="30">
        <v>11816.07</v>
      </c>
      <c r="M90" s="30"/>
      <c r="N90" s="30"/>
      <c r="O90" s="30"/>
      <c r="P90" s="30"/>
      <c r="Q90" s="30"/>
      <c r="R90" s="30"/>
      <c r="S90" s="29"/>
      <c r="T90" s="30"/>
      <c r="U90" s="30"/>
      <c r="V90" s="30"/>
      <c r="W90" s="30"/>
      <c r="X90" s="30"/>
      <c r="Y90" s="30"/>
      <c r="Z90" s="35"/>
      <c r="AA90" s="10"/>
      <c r="AB90" s="10"/>
      <c r="AC90" s="10"/>
      <c r="AD90" s="10"/>
      <c r="AE90" s="10"/>
      <c r="AF90" s="10"/>
      <c r="AG90" s="10"/>
      <c r="AH90" s="10"/>
      <c r="AI90" s="10"/>
    </row>
    <row r="91" spans="1:35" x14ac:dyDescent="0.25">
      <c r="A91" s="27" t="s">
        <v>112</v>
      </c>
      <c r="B91" s="28" t="s">
        <v>461</v>
      </c>
      <c r="C91" s="29" t="s">
        <v>4</v>
      </c>
      <c r="D91" s="28" t="s">
        <v>462</v>
      </c>
      <c r="E91" s="30">
        <v>9572.0400000000009</v>
      </c>
      <c r="F91" s="30">
        <v>9574.1</v>
      </c>
      <c r="G91" s="30">
        <v>9572.14</v>
      </c>
      <c r="H91" s="30">
        <v>9572.07</v>
      </c>
      <c r="I91" s="30">
        <v>9574.1</v>
      </c>
      <c r="J91" s="30">
        <v>9578.77</v>
      </c>
      <c r="K91" s="30">
        <v>9595.9699999999993</v>
      </c>
      <c r="L91" s="30">
        <v>9578.09</v>
      </c>
      <c r="M91" s="30"/>
      <c r="N91" s="30"/>
      <c r="O91" s="30"/>
      <c r="P91" s="30"/>
      <c r="Q91" s="30"/>
      <c r="R91" s="30"/>
      <c r="S91" s="29"/>
      <c r="T91" s="30"/>
      <c r="U91" s="30"/>
      <c r="V91" s="30"/>
      <c r="W91" s="30"/>
      <c r="X91" s="30"/>
      <c r="Y91" s="30"/>
      <c r="Z91" s="35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ht="14.25" customHeight="1" x14ac:dyDescent="0.25">
      <c r="A92" s="27" t="s">
        <v>113</v>
      </c>
      <c r="B92" s="28" t="s">
        <v>463</v>
      </c>
      <c r="C92" s="29" t="s">
        <v>4</v>
      </c>
      <c r="D92" s="28" t="s">
        <v>464</v>
      </c>
      <c r="E92" s="30">
        <v>16204.06</v>
      </c>
      <c r="F92" s="30">
        <v>16214.48</v>
      </c>
      <c r="G92" s="30">
        <v>16204.09</v>
      </c>
      <c r="H92" s="30">
        <v>16204.07</v>
      </c>
      <c r="I92" s="30">
        <v>16214.48</v>
      </c>
      <c r="J92" s="30">
        <v>16215.25</v>
      </c>
      <c r="K92" s="30">
        <v>16244.56</v>
      </c>
      <c r="L92" s="30">
        <v>16207.02</v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5"/>
      <c r="AA92" s="10"/>
      <c r="AB92" s="10"/>
      <c r="AC92" s="10"/>
      <c r="AD92" s="10"/>
      <c r="AE92" s="10"/>
      <c r="AF92" s="10"/>
      <c r="AG92" s="10"/>
      <c r="AH92" s="10"/>
      <c r="AI92" s="10"/>
    </row>
    <row r="93" spans="1:35" x14ac:dyDescent="0.25">
      <c r="A93" s="27" t="s">
        <v>114</v>
      </c>
      <c r="B93" s="28" t="s">
        <v>465</v>
      </c>
      <c r="C93" s="29" t="s">
        <v>4</v>
      </c>
      <c r="D93" s="28" t="s">
        <v>466</v>
      </c>
      <c r="E93" s="30">
        <v>8035.87</v>
      </c>
      <c r="F93" s="30">
        <v>8059.7</v>
      </c>
      <c r="G93" s="30">
        <v>8035.88</v>
      </c>
      <c r="H93" s="30">
        <v>8035.88</v>
      </c>
      <c r="I93" s="30">
        <v>8059.7</v>
      </c>
      <c r="J93" s="30">
        <v>8041.35</v>
      </c>
      <c r="K93" s="30">
        <v>8055.94</v>
      </c>
      <c r="L93" s="30">
        <v>8039.63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5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1:35" x14ac:dyDescent="0.25">
      <c r="A94" s="27" t="s">
        <v>115</v>
      </c>
      <c r="B94" s="28" t="s">
        <v>467</v>
      </c>
      <c r="C94" s="29" t="s">
        <v>4</v>
      </c>
      <c r="D94" s="28" t="s">
        <v>468</v>
      </c>
      <c r="E94" s="30">
        <v>8907.31</v>
      </c>
      <c r="F94" s="30">
        <v>8918.02</v>
      </c>
      <c r="G94" s="30">
        <v>8907.42</v>
      </c>
      <c r="H94" s="30">
        <v>8907.42</v>
      </c>
      <c r="I94" s="30">
        <v>8918.02</v>
      </c>
      <c r="J94" s="30">
        <v>8914.2900000000009</v>
      </c>
      <c r="K94" s="30">
        <v>8929.57</v>
      </c>
      <c r="L94" s="30">
        <v>8912.94</v>
      </c>
      <c r="M94" s="30"/>
      <c r="N94" s="30"/>
      <c r="O94" s="30"/>
      <c r="P94" s="30"/>
      <c r="Q94" s="30"/>
      <c r="R94" s="30"/>
      <c r="S94" s="29"/>
      <c r="T94" s="30"/>
      <c r="U94" s="30"/>
      <c r="V94" s="30"/>
      <c r="W94" s="30"/>
      <c r="X94" s="30"/>
      <c r="Y94" s="30"/>
      <c r="Z94" s="35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1:35" x14ac:dyDescent="0.25">
      <c r="A95" s="27" t="s">
        <v>116</v>
      </c>
      <c r="B95" s="28" t="s">
        <v>469</v>
      </c>
      <c r="C95" s="29" t="s">
        <v>4</v>
      </c>
      <c r="D95" s="28" t="s">
        <v>470</v>
      </c>
      <c r="E95" s="30">
        <v>8337.82</v>
      </c>
      <c r="F95" s="30">
        <v>8343.66</v>
      </c>
      <c r="G95" s="30">
        <v>8337.83</v>
      </c>
      <c r="H95" s="30">
        <v>8337.85</v>
      </c>
      <c r="I95" s="30">
        <v>8343.66</v>
      </c>
      <c r="J95" s="30">
        <v>8344.7999999999993</v>
      </c>
      <c r="K95" s="30">
        <v>8358.65</v>
      </c>
      <c r="L95" s="30">
        <v>8342.9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5"/>
      <c r="AA95" s="10"/>
      <c r="AB95" s="10"/>
      <c r="AC95" s="10"/>
      <c r="AD95" s="10"/>
      <c r="AE95" s="10"/>
      <c r="AF95" s="10"/>
      <c r="AG95" s="10"/>
      <c r="AH95" s="10"/>
      <c r="AI95" s="10"/>
    </row>
    <row r="96" spans="1:35" x14ac:dyDescent="0.25">
      <c r="A96" s="27" t="s">
        <v>117</v>
      </c>
      <c r="B96" s="28" t="s">
        <v>471</v>
      </c>
      <c r="C96" s="29" t="s">
        <v>4</v>
      </c>
      <c r="D96" s="28" t="s">
        <v>472</v>
      </c>
      <c r="E96" s="30">
        <v>8743.73</v>
      </c>
      <c r="F96" s="30">
        <v>8746.31</v>
      </c>
      <c r="G96" s="30">
        <v>8743.75</v>
      </c>
      <c r="H96" s="30">
        <v>8743.7800000000007</v>
      </c>
      <c r="I96" s="30">
        <v>8746.31</v>
      </c>
      <c r="J96" s="30">
        <v>8744.44</v>
      </c>
      <c r="K96" s="30">
        <v>8765.59</v>
      </c>
      <c r="L96" s="30">
        <v>8748.67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5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41" x14ac:dyDescent="0.25">
      <c r="A97" s="27" t="s">
        <v>118</v>
      </c>
      <c r="B97" s="28" t="s">
        <v>473</v>
      </c>
      <c r="C97" s="29" t="s">
        <v>4</v>
      </c>
      <c r="D97" s="28" t="s">
        <v>474</v>
      </c>
      <c r="E97" s="30">
        <v>8497.9599999999991</v>
      </c>
      <c r="F97" s="30">
        <v>8500.3799999999992</v>
      </c>
      <c r="G97" s="30">
        <v>8497.98</v>
      </c>
      <c r="H97" s="30">
        <v>8497.98</v>
      </c>
      <c r="I97" s="30">
        <v>8500.3799999999992</v>
      </c>
      <c r="J97" s="30">
        <v>8501.17</v>
      </c>
      <c r="K97" s="30">
        <v>8519.19</v>
      </c>
      <c r="L97" s="30">
        <v>8503.41</v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5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1:41" x14ac:dyDescent="0.25">
      <c r="A98" s="27" t="s">
        <v>119</v>
      </c>
      <c r="B98" s="28" t="s">
        <v>475</v>
      </c>
      <c r="C98" s="29" t="s">
        <v>4</v>
      </c>
      <c r="D98" s="28" t="s">
        <v>476</v>
      </c>
      <c r="E98" s="30">
        <v>12034.55</v>
      </c>
      <c r="F98" s="30">
        <v>12038.17</v>
      </c>
      <c r="G98" s="30">
        <v>12034.59</v>
      </c>
      <c r="H98" s="30">
        <v>12034.7</v>
      </c>
      <c r="I98" s="30">
        <v>12038.17</v>
      </c>
      <c r="J98" s="30">
        <v>12050.25</v>
      </c>
      <c r="K98" s="30">
        <v>12064.63</v>
      </c>
      <c r="L98" s="30">
        <v>12041.95</v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5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41" x14ac:dyDescent="0.25">
      <c r="A99" s="27" t="s">
        <v>120</v>
      </c>
      <c r="B99" s="28" t="s">
        <v>477</v>
      </c>
      <c r="C99" s="29" t="s">
        <v>4</v>
      </c>
      <c r="D99" s="28" t="s">
        <v>478</v>
      </c>
      <c r="E99" s="30">
        <v>11177.28</v>
      </c>
      <c r="F99" s="30">
        <v>11180.48</v>
      </c>
      <c r="G99" s="30">
        <v>11177.33</v>
      </c>
      <c r="H99" s="30">
        <v>11177.44</v>
      </c>
      <c r="I99" s="30">
        <v>11180.48</v>
      </c>
      <c r="J99" s="30">
        <v>11188.73</v>
      </c>
      <c r="K99" s="30">
        <v>11205.22</v>
      </c>
      <c r="L99" s="30">
        <v>11184.22</v>
      </c>
      <c r="M99" s="30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36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1:41" x14ac:dyDescent="0.25">
      <c r="A100" s="27" t="s">
        <v>121</v>
      </c>
      <c r="B100" s="28" t="s">
        <v>479</v>
      </c>
      <c r="C100" s="29" t="s">
        <v>4</v>
      </c>
      <c r="D100" s="28" t="s">
        <v>480</v>
      </c>
      <c r="E100" s="30">
        <v>9686.98</v>
      </c>
      <c r="F100" s="30">
        <v>9689.56</v>
      </c>
      <c r="G100" s="30">
        <v>9687.01</v>
      </c>
      <c r="H100" s="30">
        <v>9687.0300000000007</v>
      </c>
      <c r="I100" s="30">
        <v>9689.56</v>
      </c>
      <c r="J100" s="30">
        <v>9698.83</v>
      </c>
      <c r="K100" s="30">
        <v>9711.19</v>
      </c>
      <c r="L100" s="30">
        <v>9693.09</v>
      </c>
      <c r="M100" s="30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36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1:41" x14ac:dyDescent="0.25">
      <c r="A101" s="27" t="s">
        <v>122</v>
      </c>
      <c r="B101" s="28" t="s">
        <v>481</v>
      </c>
      <c r="C101" s="29" t="s">
        <v>4</v>
      </c>
      <c r="D101" s="28" t="s">
        <v>482</v>
      </c>
      <c r="E101" s="30">
        <v>7550.11</v>
      </c>
      <c r="F101" s="30">
        <v>7573.01</v>
      </c>
      <c r="G101" s="30">
        <v>7550.16</v>
      </c>
      <c r="H101" s="30">
        <v>7550.12</v>
      </c>
      <c r="I101" s="30">
        <v>7573.01</v>
      </c>
      <c r="J101" s="30">
        <v>7556.61</v>
      </c>
      <c r="K101" s="30">
        <v>7568.98</v>
      </c>
      <c r="L101" s="30">
        <v>7555.6</v>
      </c>
      <c r="M101" s="30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36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41" x14ac:dyDescent="0.25">
      <c r="A102" s="27" t="s">
        <v>123</v>
      </c>
      <c r="B102" s="28" t="s">
        <v>483</v>
      </c>
      <c r="C102" s="29" t="s">
        <v>4</v>
      </c>
      <c r="D102" s="28" t="s">
        <v>484</v>
      </c>
      <c r="E102" s="30">
        <v>11190.5</v>
      </c>
      <c r="F102" s="30">
        <v>11193.87</v>
      </c>
      <c r="G102" s="30">
        <v>11190.51</v>
      </c>
      <c r="H102" s="30">
        <v>11190.51</v>
      </c>
      <c r="I102" s="30">
        <v>11193.87</v>
      </c>
      <c r="J102" s="30">
        <v>11201.74</v>
      </c>
      <c r="K102" s="30">
        <v>11218.47</v>
      </c>
      <c r="L102" s="30">
        <v>11197.39</v>
      </c>
      <c r="M102" s="30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36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1:41" x14ac:dyDescent="0.25">
      <c r="A103" s="27" t="s">
        <v>124</v>
      </c>
      <c r="B103" s="28" t="s">
        <v>485</v>
      </c>
      <c r="C103" s="29" t="s">
        <v>4</v>
      </c>
      <c r="D103" s="28" t="s">
        <v>486</v>
      </c>
      <c r="E103" s="30">
        <v>10763.34</v>
      </c>
      <c r="F103" s="30">
        <v>10766.82</v>
      </c>
      <c r="G103" s="30">
        <v>10763.37</v>
      </c>
      <c r="H103" s="30">
        <v>10763.37</v>
      </c>
      <c r="I103" s="30">
        <v>10766.82</v>
      </c>
      <c r="J103" s="30">
        <v>10767.23</v>
      </c>
      <c r="K103" s="30">
        <v>10790.25</v>
      </c>
      <c r="L103" s="30">
        <v>10768.94</v>
      </c>
      <c r="M103" s="30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36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41" x14ac:dyDescent="0.25">
      <c r="A104" s="27" t="s">
        <v>125</v>
      </c>
      <c r="B104" s="28" t="s">
        <v>487</v>
      </c>
      <c r="C104" s="29" t="s">
        <v>4</v>
      </c>
      <c r="D104" s="28" t="s">
        <v>488</v>
      </c>
      <c r="E104" s="30">
        <v>8393.2000000000007</v>
      </c>
      <c r="F104" s="30">
        <v>8395.65</v>
      </c>
      <c r="G104" s="30">
        <v>8393.24</v>
      </c>
      <c r="H104" s="30">
        <v>8393.24</v>
      </c>
      <c r="I104" s="30">
        <v>8395.65</v>
      </c>
      <c r="J104" s="30">
        <v>8404.06</v>
      </c>
      <c r="K104" s="30">
        <v>8414.18</v>
      </c>
      <c r="L104" s="30">
        <v>8397.82</v>
      </c>
      <c r="M104" s="30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36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1:41" x14ac:dyDescent="0.25">
      <c r="A105" s="27" t="s">
        <v>55</v>
      </c>
      <c r="B105" s="28" t="s">
        <v>188</v>
      </c>
      <c r="C105" s="29" t="s">
        <v>54</v>
      </c>
      <c r="D105" s="28" t="s">
        <v>489</v>
      </c>
      <c r="E105" s="30">
        <v>69669.87</v>
      </c>
      <c r="F105" s="30">
        <v>69880.2</v>
      </c>
      <c r="G105" s="30">
        <v>69671.429999999993</v>
      </c>
      <c r="H105" s="30">
        <v>69669.91</v>
      </c>
      <c r="I105" s="30">
        <v>69880.2</v>
      </c>
      <c r="J105" s="30">
        <v>70387.61</v>
      </c>
      <c r="K105" s="30">
        <v>69844.039999999994</v>
      </c>
      <c r="L105" s="30">
        <v>69705.22</v>
      </c>
      <c r="M105" s="30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36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41" x14ac:dyDescent="0.25">
      <c r="A106" s="27" t="s">
        <v>56</v>
      </c>
      <c r="B106" s="28" t="s">
        <v>189</v>
      </c>
      <c r="C106" s="29" t="s">
        <v>54</v>
      </c>
      <c r="D106" s="28" t="s">
        <v>490</v>
      </c>
      <c r="E106" s="30">
        <v>95731.39</v>
      </c>
      <c r="F106" s="29">
        <v>96020.02</v>
      </c>
      <c r="G106" s="30">
        <v>95752.42</v>
      </c>
      <c r="H106" s="30">
        <v>95731.39</v>
      </c>
      <c r="I106" s="30">
        <v>96020.08</v>
      </c>
      <c r="J106" s="30">
        <v>95924.56</v>
      </c>
      <c r="K106" s="30">
        <v>95970.74</v>
      </c>
      <c r="L106" s="30">
        <v>95774.99</v>
      </c>
      <c r="M106" s="30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36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 spans="1:41" x14ac:dyDescent="0.25">
      <c r="A107" s="27" t="s">
        <v>57</v>
      </c>
      <c r="B107" s="28" t="s">
        <v>190</v>
      </c>
      <c r="C107" s="29" t="s">
        <v>4</v>
      </c>
      <c r="D107" s="28" t="s">
        <v>491</v>
      </c>
      <c r="E107" s="30">
        <v>703.87</v>
      </c>
      <c r="F107" s="30">
        <v>705.72</v>
      </c>
      <c r="G107" s="30">
        <v>703.89</v>
      </c>
      <c r="H107" s="30">
        <v>703.86</v>
      </c>
      <c r="I107" s="30">
        <v>705.72</v>
      </c>
      <c r="J107" s="30">
        <v>704.57</v>
      </c>
      <c r="K107" s="30">
        <v>705.61</v>
      </c>
      <c r="L107" s="30">
        <v>704.09</v>
      </c>
      <c r="M107" s="30"/>
      <c r="N107" s="30"/>
      <c r="O107" s="30"/>
      <c r="P107" s="30"/>
      <c r="Q107" s="30"/>
      <c r="R107" s="30"/>
      <c r="S107" s="29"/>
      <c r="T107" s="30"/>
      <c r="U107" s="30"/>
      <c r="V107" s="30"/>
      <c r="W107" s="30"/>
      <c r="X107" s="30"/>
      <c r="Y107" s="30"/>
      <c r="Z107" s="35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x14ac:dyDescent="0.25">
      <c r="A108" s="27" t="s">
        <v>126</v>
      </c>
      <c r="B108" s="28" t="s">
        <v>191</v>
      </c>
      <c r="C108" s="29" t="s">
        <v>35</v>
      </c>
      <c r="D108" s="28" t="s">
        <v>492</v>
      </c>
      <c r="E108" s="30">
        <v>776823.8</v>
      </c>
      <c r="F108" s="30">
        <v>777044.6</v>
      </c>
      <c r="G108" s="30">
        <v>776823.78</v>
      </c>
      <c r="H108" s="30">
        <v>776824.28</v>
      </c>
      <c r="I108" s="30">
        <v>777044.59</v>
      </c>
      <c r="J108" s="30">
        <v>780955</v>
      </c>
      <c r="K108" s="30">
        <v>790853.58</v>
      </c>
      <c r="L108" s="30">
        <v>777372.62</v>
      </c>
      <c r="M108" s="30"/>
      <c r="N108" s="30"/>
      <c r="O108" s="30"/>
      <c r="P108" s="30"/>
      <c r="Q108" s="30"/>
      <c r="R108" s="30"/>
      <c r="S108" s="29"/>
      <c r="T108" s="30"/>
      <c r="U108" s="30"/>
      <c r="V108" s="30"/>
      <c r="W108" s="30"/>
      <c r="X108" s="30"/>
      <c r="Y108" s="30"/>
      <c r="Z108" s="35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x14ac:dyDescent="0.25">
      <c r="A109" s="27" t="s">
        <v>493</v>
      </c>
      <c r="B109" s="28" t="s">
        <v>311</v>
      </c>
      <c r="C109" s="29" t="s">
        <v>2</v>
      </c>
      <c r="D109" s="28" t="s">
        <v>494</v>
      </c>
      <c r="E109" s="30">
        <v>7856.54</v>
      </c>
      <c r="F109" s="30">
        <v>7879.92</v>
      </c>
      <c r="G109" s="30">
        <v>7856.56</v>
      </c>
      <c r="H109" s="30">
        <v>7856.63</v>
      </c>
      <c r="I109" s="30">
        <v>7879.92</v>
      </c>
      <c r="J109" s="30">
        <v>7864.85</v>
      </c>
      <c r="K109" s="30">
        <v>7876.18</v>
      </c>
      <c r="L109" s="30">
        <v>7860.74</v>
      </c>
      <c r="M109" s="30"/>
      <c r="N109" s="30"/>
      <c r="O109" s="30"/>
      <c r="P109" s="30"/>
      <c r="Q109" s="30"/>
      <c r="R109" s="30"/>
      <c r="S109" s="29"/>
      <c r="T109" s="30"/>
      <c r="U109" s="30"/>
      <c r="V109" s="30"/>
      <c r="W109" s="30"/>
      <c r="X109" s="30"/>
      <c r="Y109" s="30"/>
      <c r="Z109" s="35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x14ac:dyDescent="0.25">
      <c r="A110" s="27" t="s">
        <v>495</v>
      </c>
      <c r="B110" s="28" t="s">
        <v>496</v>
      </c>
      <c r="C110" s="29" t="s">
        <v>2</v>
      </c>
      <c r="D110" s="28" t="s">
        <v>497</v>
      </c>
      <c r="E110" s="30">
        <v>20272.310000000001</v>
      </c>
      <c r="F110" s="30">
        <v>20278.66</v>
      </c>
      <c r="G110" s="30">
        <v>20272.32</v>
      </c>
      <c r="H110" s="30">
        <v>20272.32</v>
      </c>
      <c r="I110" s="30">
        <v>20278.66</v>
      </c>
      <c r="J110" s="30">
        <v>20288.36</v>
      </c>
      <c r="K110" s="30">
        <v>20322.98</v>
      </c>
      <c r="L110" s="30">
        <v>20293.23</v>
      </c>
      <c r="M110" s="30"/>
      <c r="N110" s="30"/>
      <c r="O110" s="30"/>
      <c r="P110" s="30"/>
      <c r="Q110" s="30"/>
      <c r="R110" s="30"/>
      <c r="S110" s="29"/>
      <c r="T110" s="30"/>
      <c r="U110" s="30"/>
      <c r="V110" s="30"/>
      <c r="W110" s="30"/>
      <c r="X110" s="30"/>
      <c r="Y110" s="30"/>
      <c r="Z110" s="35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x14ac:dyDescent="0.25">
      <c r="A111" s="27" t="s">
        <v>498</v>
      </c>
      <c r="B111" s="28" t="s">
        <v>499</v>
      </c>
      <c r="C111" s="29" t="s">
        <v>2</v>
      </c>
      <c r="D111" s="28" t="s">
        <v>500</v>
      </c>
      <c r="E111" s="30">
        <v>29630.25</v>
      </c>
      <c r="F111" s="30">
        <v>29719.79</v>
      </c>
      <c r="G111" s="30">
        <v>29631.1</v>
      </c>
      <c r="H111" s="30">
        <v>29631.43</v>
      </c>
      <c r="I111" s="30">
        <v>29719.81</v>
      </c>
      <c r="J111" s="30">
        <v>29650.68</v>
      </c>
      <c r="K111" s="30">
        <v>29704.3</v>
      </c>
      <c r="L111" s="30">
        <v>29650.98</v>
      </c>
      <c r="M111" s="30"/>
      <c r="N111" s="30"/>
      <c r="O111" s="30"/>
      <c r="P111" s="30"/>
      <c r="Q111" s="30"/>
      <c r="R111" s="30"/>
      <c r="S111" s="29"/>
      <c r="T111" s="30"/>
      <c r="U111" s="30"/>
      <c r="V111" s="30"/>
      <c r="W111" s="30"/>
      <c r="X111" s="30"/>
      <c r="Y111" s="30"/>
      <c r="Z111" s="35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x14ac:dyDescent="0.25">
      <c r="A112" s="27" t="s">
        <v>0</v>
      </c>
      <c r="B112" s="28" t="s">
        <v>1</v>
      </c>
      <c r="C112" s="29" t="s">
        <v>2</v>
      </c>
      <c r="D112" s="28" t="s">
        <v>501</v>
      </c>
      <c r="E112" s="30"/>
      <c r="F112" s="30"/>
      <c r="G112" s="30"/>
      <c r="H112" s="30"/>
      <c r="I112" s="30"/>
      <c r="J112" s="30"/>
      <c r="K112" s="30"/>
      <c r="L112" s="30"/>
      <c r="M112" s="30">
        <v>3881.29</v>
      </c>
      <c r="N112" s="30">
        <v>3883.81</v>
      </c>
      <c r="O112" s="30">
        <v>3880.4</v>
      </c>
      <c r="P112" s="30">
        <v>3880.65</v>
      </c>
      <c r="Q112" s="30">
        <v>3879.93</v>
      </c>
      <c r="R112" s="30">
        <v>3888.77</v>
      </c>
      <c r="S112" s="29">
        <v>3909.99</v>
      </c>
      <c r="T112" s="30">
        <v>3883.92</v>
      </c>
      <c r="U112" s="30">
        <v>3904.17</v>
      </c>
      <c r="V112" s="30">
        <v>3879.92</v>
      </c>
      <c r="W112" s="30">
        <v>3885.25</v>
      </c>
      <c r="X112" s="30">
        <v>3879.94</v>
      </c>
      <c r="Y112" s="30">
        <v>3884.77</v>
      </c>
      <c r="Z112" s="35">
        <v>3815.32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x14ac:dyDescent="0.25">
      <c r="A113" s="27" t="s">
        <v>3</v>
      </c>
      <c r="B113" s="28" t="s">
        <v>171</v>
      </c>
      <c r="C113" s="29" t="s">
        <v>4</v>
      </c>
      <c r="D113" s="28" t="s">
        <v>502</v>
      </c>
      <c r="E113" s="30"/>
      <c r="F113" s="30"/>
      <c r="G113" s="30"/>
      <c r="H113" s="30"/>
      <c r="I113" s="30"/>
      <c r="J113" s="30"/>
      <c r="K113" s="30"/>
      <c r="L113" s="30"/>
      <c r="M113" s="30">
        <v>4482.6099999999997</v>
      </c>
      <c r="N113" s="30">
        <v>4483.2299999999996</v>
      </c>
      <c r="O113" s="30">
        <v>4482.41</v>
      </c>
      <c r="P113" s="30">
        <v>4488.46</v>
      </c>
      <c r="Q113" s="30">
        <v>4481.8999999999996</v>
      </c>
      <c r="R113" s="30">
        <v>4488.21</v>
      </c>
      <c r="S113" s="29">
        <v>4516.58</v>
      </c>
      <c r="T113" s="30">
        <v>4486.46</v>
      </c>
      <c r="U113" s="30">
        <v>4509.8599999999997</v>
      </c>
      <c r="V113" s="30">
        <v>4481.8599999999997</v>
      </c>
      <c r="W113" s="30">
        <v>4488</v>
      </c>
      <c r="X113" s="30">
        <v>4481.87</v>
      </c>
      <c r="Y113" s="30">
        <v>4487.45</v>
      </c>
      <c r="Z113" s="35">
        <v>4441.4399999999996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x14ac:dyDescent="0.25">
      <c r="A114" s="27" t="s">
        <v>5</v>
      </c>
      <c r="B114" s="28" t="s">
        <v>8</v>
      </c>
      <c r="C114" s="29" t="s">
        <v>2</v>
      </c>
      <c r="D114" s="28" t="s">
        <v>503</v>
      </c>
      <c r="E114" s="30"/>
      <c r="F114" s="30"/>
      <c r="G114" s="30"/>
      <c r="H114" s="30"/>
      <c r="I114" s="30"/>
      <c r="J114" s="30"/>
      <c r="K114" s="30"/>
      <c r="L114" s="30"/>
      <c r="M114" s="30">
        <v>10171.950000000001</v>
      </c>
      <c r="N114" s="30">
        <v>10166.629999999999</v>
      </c>
      <c r="O114" s="30">
        <v>10167.49</v>
      </c>
      <c r="P114" s="30">
        <v>10173.049999999999</v>
      </c>
      <c r="Q114" s="30">
        <v>10166.32</v>
      </c>
      <c r="R114" s="30">
        <v>10171.51</v>
      </c>
      <c r="S114" s="29">
        <v>10245</v>
      </c>
      <c r="T114" s="30">
        <v>10176.66</v>
      </c>
      <c r="U114" s="30">
        <v>10229.75</v>
      </c>
      <c r="V114" s="30">
        <v>10166.219999999999</v>
      </c>
      <c r="W114" s="30">
        <v>10180.219999999999</v>
      </c>
      <c r="X114" s="30">
        <v>10166.280000000001</v>
      </c>
      <c r="Y114" s="30">
        <v>10178.92</v>
      </c>
      <c r="Z114" s="35">
        <v>10229.870000000001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x14ac:dyDescent="0.25">
      <c r="A115" s="27" t="s">
        <v>6</v>
      </c>
      <c r="B115" s="28" t="s">
        <v>10</v>
      </c>
      <c r="C115" s="29" t="s">
        <v>2</v>
      </c>
      <c r="D115" s="28" t="s">
        <v>504</v>
      </c>
      <c r="E115" s="30"/>
      <c r="F115" s="30"/>
      <c r="G115" s="30"/>
      <c r="H115" s="30"/>
      <c r="I115" s="30"/>
      <c r="J115" s="30"/>
      <c r="K115" s="30"/>
      <c r="L115" s="30"/>
      <c r="M115" s="30">
        <v>11392.51</v>
      </c>
      <c r="N115" s="30">
        <v>11389.63</v>
      </c>
      <c r="O115" s="30">
        <v>11390.55</v>
      </c>
      <c r="P115" s="30">
        <v>11395.47</v>
      </c>
      <c r="Q115" s="30">
        <v>11389.22</v>
      </c>
      <c r="R115" s="30">
        <v>11392.78</v>
      </c>
      <c r="S115" s="29">
        <v>11477.39</v>
      </c>
      <c r="T115" s="30">
        <v>11400.85</v>
      </c>
      <c r="U115" s="30">
        <v>11460.32</v>
      </c>
      <c r="V115" s="30">
        <v>11389.13</v>
      </c>
      <c r="W115" s="30">
        <v>11404.8</v>
      </c>
      <c r="X115" s="30">
        <v>11389.2</v>
      </c>
      <c r="Y115" s="30">
        <v>11403.36</v>
      </c>
      <c r="Z115" s="35">
        <v>11547.45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x14ac:dyDescent="0.25">
      <c r="A116" s="27" t="s">
        <v>7</v>
      </c>
      <c r="B116" s="28" t="s">
        <v>192</v>
      </c>
      <c r="C116" s="29" t="s">
        <v>2</v>
      </c>
      <c r="D116" s="28" t="s">
        <v>505</v>
      </c>
      <c r="E116" s="30"/>
      <c r="F116" s="30"/>
      <c r="G116" s="30"/>
      <c r="H116" s="30"/>
      <c r="I116" s="30"/>
      <c r="J116" s="30"/>
      <c r="K116" s="30"/>
      <c r="L116" s="30"/>
      <c r="M116" s="30">
        <v>7943.11</v>
      </c>
      <c r="N116" s="30">
        <v>7942.74</v>
      </c>
      <c r="O116" s="30">
        <v>7942.88</v>
      </c>
      <c r="P116" s="30">
        <v>7950.23</v>
      </c>
      <c r="Q116" s="30">
        <v>7941.98</v>
      </c>
      <c r="R116" s="30">
        <v>7963.81</v>
      </c>
      <c r="S116" s="29">
        <v>8003.44</v>
      </c>
      <c r="T116" s="30">
        <v>7950.05</v>
      </c>
      <c r="U116" s="30">
        <v>7991.52</v>
      </c>
      <c r="V116" s="30">
        <v>7941.89</v>
      </c>
      <c r="W116" s="30">
        <v>7952.81</v>
      </c>
      <c r="X116" s="30">
        <v>7941.94</v>
      </c>
      <c r="Y116" s="30">
        <v>7951.82</v>
      </c>
      <c r="Z116" s="35">
        <v>8173.62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x14ac:dyDescent="0.25">
      <c r="A117" s="27" t="s">
        <v>9</v>
      </c>
      <c r="B117" s="28" t="s">
        <v>193</v>
      </c>
      <c r="C117" s="29" t="s">
        <v>2</v>
      </c>
      <c r="D117" s="28" t="s">
        <v>506</v>
      </c>
      <c r="E117" s="30"/>
      <c r="F117" s="30"/>
      <c r="G117" s="30"/>
      <c r="H117" s="30"/>
      <c r="I117" s="30"/>
      <c r="J117" s="30"/>
      <c r="K117" s="30"/>
      <c r="L117" s="30"/>
      <c r="M117" s="30">
        <v>9050.27</v>
      </c>
      <c r="N117" s="30">
        <v>9045.52</v>
      </c>
      <c r="O117" s="30">
        <v>9046.09</v>
      </c>
      <c r="P117" s="30">
        <v>9048.86</v>
      </c>
      <c r="Q117" s="30">
        <v>9044.99</v>
      </c>
      <c r="R117" s="30">
        <v>9058.92</v>
      </c>
      <c r="S117" s="30">
        <v>9115.06</v>
      </c>
      <c r="T117" s="30">
        <v>9054.27</v>
      </c>
      <c r="U117" s="30">
        <v>9101.49</v>
      </c>
      <c r="V117" s="30">
        <v>9044.9599999999991</v>
      </c>
      <c r="W117" s="30">
        <v>9057.4</v>
      </c>
      <c r="X117" s="30">
        <v>9045.01</v>
      </c>
      <c r="Y117" s="30">
        <v>9056.27</v>
      </c>
      <c r="Z117" s="35">
        <v>9377.9699999999993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x14ac:dyDescent="0.25">
      <c r="A118" s="27" t="s">
        <v>507</v>
      </c>
      <c r="B118" s="28" t="s">
        <v>508</v>
      </c>
      <c r="C118" s="29" t="s">
        <v>310</v>
      </c>
      <c r="D118" s="28" t="s">
        <v>509</v>
      </c>
      <c r="E118" s="30"/>
      <c r="F118" s="30"/>
      <c r="G118" s="30"/>
      <c r="H118" s="30"/>
      <c r="I118" s="30"/>
      <c r="J118" s="30"/>
      <c r="K118" s="30"/>
      <c r="L118" s="30"/>
      <c r="M118" s="30">
        <v>11842.94</v>
      </c>
      <c r="N118" s="30">
        <v>11839.95</v>
      </c>
      <c r="O118" s="30">
        <v>11840.98</v>
      </c>
      <c r="P118" s="30">
        <v>11842.73</v>
      </c>
      <c r="Q118" s="30">
        <v>11839.65</v>
      </c>
      <c r="R118" s="30">
        <v>11857.25</v>
      </c>
      <c r="S118" s="30">
        <v>11931.26</v>
      </c>
      <c r="T118" s="30">
        <v>11851.68</v>
      </c>
      <c r="U118" s="30">
        <v>11913.5</v>
      </c>
      <c r="V118" s="30">
        <v>11839.51</v>
      </c>
      <c r="W118" s="30">
        <v>11855.79</v>
      </c>
      <c r="X118" s="30">
        <v>11839.58</v>
      </c>
      <c r="Y118" s="30">
        <v>11854.3</v>
      </c>
      <c r="Z118" s="35">
        <v>12184.98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25">
      <c r="A119" s="27" t="s">
        <v>11</v>
      </c>
      <c r="B119" s="28" t="s">
        <v>176</v>
      </c>
      <c r="C119" s="29" t="s">
        <v>12</v>
      </c>
      <c r="D119" s="28" t="s">
        <v>510</v>
      </c>
      <c r="E119" s="30"/>
      <c r="F119" s="30"/>
      <c r="G119" s="30"/>
      <c r="H119" s="30"/>
      <c r="I119" s="30"/>
      <c r="J119" s="30"/>
      <c r="K119" s="30"/>
      <c r="L119" s="30"/>
      <c r="M119" s="30">
        <v>7911.05</v>
      </c>
      <c r="N119" s="30">
        <v>7914.78</v>
      </c>
      <c r="O119" s="30">
        <v>7911.75</v>
      </c>
      <c r="P119" s="30">
        <v>7912.45</v>
      </c>
      <c r="Q119" s="30">
        <v>7910.88</v>
      </c>
      <c r="R119" s="30">
        <v>7983.88</v>
      </c>
      <c r="S119" s="29">
        <v>7972.07</v>
      </c>
      <c r="T119" s="30">
        <v>7918.88</v>
      </c>
      <c r="U119" s="30">
        <v>7960.2</v>
      </c>
      <c r="V119" s="30">
        <v>7910.76</v>
      </c>
      <c r="W119" s="30">
        <v>7921.64</v>
      </c>
      <c r="X119" s="30">
        <v>7910.81</v>
      </c>
      <c r="Y119" s="30">
        <v>7920.65</v>
      </c>
      <c r="Z119" s="35">
        <v>8020.72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x14ac:dyDescent="0.25">
      <c r="A120" s="27" t="s">
        <v>13</v>
      </c>
      <c r="B120" s="28" t="s">
        <v>14</v>
      </c>
      <c r="C120" s="29" t="s">
        <v>12</v>
      </c>
      <c r="D120" s="28" t="s">
        <v>511</v>
      </c>
      <c r="E120" s="30"/>
      <c r="F120" s="30"/>
      <c r="G120" s="30"/>
      <c r="H120" s="30"/>
      <c r="I120" s="30"/>
      <c r="J120" s="30"/>
      <c r="K120" s="30"/>
      <c r="L120" s="30"/>
      <c r="M120" s="30">
        <v>9663.06</v>
      </c>
      <c r="N120" s="30">
        <v>9660.91</v>
      </c>
      <c r="O120" s="30">
        <v>9661.18</v>
      </c>
      <c r="P120" s="30">
        <v>9663.09</v>
      </c>
      <c r="Q120" s="30">
        <v>9660</v>
      </c>
      <c r="R120" s="30">
        <v>9729.17</v>
      </c>
      <c r="S120" s="29">
        <v>9734.83</v>
      </c>
      <c r="T120" s="30">
        <v>9669.89</v>
      </c>
      <c r="U120" s="30">
        <v>9720.34</v>
      </c>
      <c r="V120" s="30">
        <v>9660.1</v>
      </c>
      <c r="W120" s="30">
        <v>9673.23</v>
      </c>
      <c r="X120" s="30">
        <v>9660.0300000000007</v>
      </c>
      <c r="Y120" s="30">
        <v>9672.0400000000009</v>
      </c>
      <c r="Z120" s="35">
        <v>9720.4500000000007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x14ac:dyDescent="0.25">
      <c r="A121" s="27" t="s">
        <v>15</v>
      </c>
      <c r="B121" s="28" t="s">
        <v>16</v>
      </c>
      <c r="C121" s="29" t="s">
        <v>12</v>
      </c>
      <c r="D121" s="28" t="s">
        <v>512</v>
      </c>
      <c r="E121" s="30"/>
      <c r="F121" s="30"/>
      <c r="G121" s="30"/>
      <c r="H121" s="30"/>
      <c r="I121" s="30"/>
      <c r="J121" s="30"/>
      <c r="K121" s="30"/>
      <c r="L121" s="30"/>
      <c r="M121" s="30">
        <v>8640.2900000000009</v>
      </c>
      <c r="N121" s="30">
        <v>8640.77</v>
      </c>
      <c r="O121" s="30">
        <v>8640.7900000000009</v>
      </c>
      <c r="P121" s="30">
        <v>8641.15</v>
      </c>
      <c r="Q121" s="30">
        <v>8639.73</v>
      </c>
      <c r="R121" s="30">
        <v>8651.7999999999993</v>
      </c>
      <c r="S121" s="30">
        <v>8706.67</v>
      </c>
      <c r="T121" s="30">
        <v>8648.6</v>
      </c>
      <c r="U121" s="30">
        <v>8693.7099999999991</v>
      </c>
      <c r="V121" s="30">
        <v>8639.73</v>
      </c>
      <c r="W121" s="30">
        <v>8651.6</v>
      </c>
      <c r="X121" s="30">
        <v>8639.76</v>
      </c>
      <c r="Y121" s="30">
        <v>8650.51</v>
      </c>
      <c r="Z121" s="35">
        <v>8627.84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x14ac:dyDescent="0.25">
      <c r="A122" s="27" t="s">
        <v>17</v>
      </c>
      <c r="B122" s="28" t="s">
        <v>18</v>
      </c>
      <c r="C122" s="29" t="s">
        <v>12</v>
      </c>
      <c r="D122" s="28" t="s">
        <v>513</v>
      </c>
      <c r="E122" s="30"/>
      <c r="F122" s="30"/>
      <c r="G122" s="30"/>
      <c r="H122" s="30"/>
      <c r="I122" s="30"/>
      <c r="J122" s="30"/>
      <c r="K122" s="30"/>
      <c r="L122" s="30"/>
      <c r="M122" s="30">
        <v>10477.790000000001</v>
      </c>
      <c r="N122" s="30">
        <v>10474.85</v>
      </c>
      <c r="O122" s="30">
        <v>10475.67</v>
      </c>
      <c r="P122" s="30">
        <v>10475.370000000001</v>
      </c>
      <c r="Q122" s="30">
        <v>10474.370000000001</v>
      </c>
      <c r="R122" s="30">
        <v>10601.14</v>
      </c>
      <c r="S122" s="30">
        <v>10555.54</v>
      </c>
      <c r="T122" s="30">
        <v>10485.129999999999</v>
      </c>
      <c r="U122" s="30">
        <v>10539.82</v>
      </c>
      <c r="V122" s="30">
        <v>10474.370000000001</v>
      </c>
      <c r="W122" s="30">
        <v>10488.76</v>
      </c>
      <c r="X122" s="30">
        <v>10474.42</v>
      </c>
      <c r="Y122" s="30">
        <v>10487.45</v>
      </c>
      <c r="Z122" s="35">
        <v>10379.93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x14ac:dyDescent="0.25">
      <c r="A123" s="27" t="s">
        <v>19</v>
      </c>
      <c r="B123" s="28" t="s">
        <v>177</v>
      </c>
      <c r="C123" s="29" t="s">
        <v>12</v>
      </c>
      <c r="D123" s="28" t="s">
        <v>514</v>
      </c>
      <c r="E123" s="29"/>
      <c r="F123" s="29"/>
      <c r="G123" s="29"/>
      <c r="H123" s="29"/>
      <c r="I123" s="29"/>
      <c r="J123" s="29"/>
      <c r="K123" s="29"/>
      <c r="L123" s="29"/>
      <c r="M123" s="29">
        <v>12281.8</v>
      </c>
      <c r="N123" s="30">
        <v>12280.06</v>
      </c>
      <c r="O123" s="30">
        <v>12281.03</v>
      </c>
      <c r="P123" s="30">
        <v>12280.76</v>
      </c>
      <c r="Q123" s="30">
        <v>12279.55</v>
      </c>
      <c r="R123" s="30">
        <v>12366.31</v>
      </c>
      <c r="S123" s="30">
        <v>12374.66</v>
      </c>
      <c r="T123" s="30">
        <v>12292.11</v>
      </c>
      <c r="U123" s="30">
        <v>12356.24</v>
      </c>
      <c r="V123" s="30">
        <v>12279.5</v>
      </c>
      <c r="W123" s="30">
        <v>12296.39</v>
      </c>
      <c r="X123" s="30">
        <v>12279.57</v>
      </c>
      <c r="Y123" s="30">
        <v>12294.85</v>
      </c>
      <c r="Z123" s="35">
        <v>12074.97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x14ac:dyDescent="0.25">
      <c r="A124" s="27" t="s">
        <v>20</v>
      </c>
      <c r="B124" s="28" t="s">
        <v>178</v>
      </c>
      <c r="C124" s="29" t="s">
        <v>12</v>
      </c>
      <c r="D124" s="28" t="s">
        <v>515</v>
      </c>
      <c r="E124" s="29"/>
      <c r="F124" s="29"/>
      <c r="G124" s="29"/>
      <c r="H124" s="29"/>
      <c r="I124" s="29"/>
      <c r="J124" s="29"/>
      <c r="K124" s="29"/>
      <c r="L124" s="29"/>
      <c r="M124" s="29">
        <v>13057.03</v>
      </c>
      <c r="N124" s="30">
        <v>13054.41</v>
      </c>
      <c r="O124" s="30">
        <v>13055.29</v>
      </c>
      <c r="P124" s="30">
        <v>13066.55</v>
      </c>
      <c r="Q124" s="30">
        <v>13053.7</v>
      </c>
      <c r="R124" s="30">
        <v>13159.8</v>
      </c>
      <c r="S124" s="30">
        <v>13154.82</v>
      </c>
      <c r="T124" s="30">
        <v>13067.09</v>
      </c>
      <c r="U124" s="30">
        <v>13135.24</v>
      </c>
      <c r="V124" s="30">
        <v>13053.67</v>
      </c>
      <c r="W124" s="30">
        <v>13071.61</v>
      </c>
      <c r="X124" s="30">
        <v>13053.73</v>
      </c>
      <c r="Y124" s="30">
        <v>13069.97</v>
      </c>
      <c r="Z124" s="35">
        <v>12736.53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25">
      <c r="A125" s="27" t="s">
        <v>21</v>
      </c>
      <c r="B125" s="28" t="s">
        <v>179</v>
      </c>
      <c r="C125" s="29" t="s">
        <v>12</v>
      </c>
      <c r="D125" s="28" t="s">
        <v>516</v>
      </c>
      <c r="E125" s="30"/>
      <c r="F125" s="30"/>
      <c r="G125" s="30"/>
      <c r="H125" s="30"/>
      <c r="I125" s="30"/>
      <c r="J125" s="30"/>
      <c r="K125" s="30"/>
      <c r="L125" s="30"/>
      <c r="M125" s="30">
        <v>9423.07</v>
      </c>
      <c r="N125" s="30">
        <v>9422.2199999999993</v>
      </c>
      <c r="O125" s="30">
        <v>9423.17</v>
      </c>
      <c r="P125" s="30">
        <v>9424.77</v>
      </c>
      <c r="Q125" s="30">
        <v>9422.07</v>
      </c>
      <c r="R125" s="30">
        <v>9426.7999999999993</v>
      </c>
      <c r="S125" s="29">
        <v>9495.01</v>
      </c>
      <c r="T125" s="30">
        <v>9431.68</v>
      </c>
      <c r="U125" s="30">
        <v>9480.8799999999992</v>
      </c>
      <c r="V125" s="30">
        <v>9422.01</v>
      </c>
      <c r="W125" s="30">
        <v>9434.9500000000007</v>
      </c>
      <c r="X125" s="30">
        <v>9422.0499999999993</v>
      </c>
      <c r="Y125" s="30">
        <v>9433.77</v>
      </c>
      <c r="Z125" s="35">
        <v>9049.14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25">
      <c r="A126" s="27" t="s">
        <v>58</v>
      </c>
      <c r="B126" s="28" t="s">
        <v>180</v>
      </c>
      <c r="C126" s="29" t="s">
        <v>12</v>
      </c>
      <c r="D126" s="28" t="s">
        <v>517</v>
      </c>
      <c r="E126" s="30"/>
      <c r="F126" s="30"/>
      <c r="G126" s="30"/>
      <c r="H126" s="30"/>
      <c r="I126" s="30"/>
      <c r="J126" s="30"/>
      <c r="K126" s="30"/>
      <c r="L126" s="30"/>
      <c r="M126" s="30">
        <v>10823.92</v>
      </c>
      <c r="N126" s="30">
        <v>10823.45</v>
      </c>
      <c r="O126" s="30">
        <v>10824.61</v>
      </c>
      <c r="P126" s="30">
        <v>10843.23</v>
      </c>
      <c r="Q126" s="30">
        <v>10823.28</v>
      </c>
      <c r="R126" s="30">
        <v>10873.67</v>
      </c>
      <c r="S126" s="29">
        <v>10907.14</v>
      </c>
      <c r="T126" s="30">
        <v>10834.39</v>
      </c>
      <c r="U126" s="30">
        <v>10890.9</v>
      </c>
      <c r="V126" s="30">
        <v>10823.92</v>
      </c>
      <c r="W126" s="30">
        <v>10838.16</v>
      </c>
      <c r="X126" s="30">
        <v>10823.32</v>
      </c>
      <c r="Y126" s="30">
        <v>10836.79</v>
      </c>
      <c r="Z126" s="35">
        <v>10477.629999999999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x14ac:dyDescent="0.25">
      <c r="A127" s="27" t="s">
        <v>22</v>
      </c>
      <c r="B127" s="28" t="s">
        <v>194</v>
      </c>
      <c r="C127" s="29" t="s">
        <v>4</v>
      </c>
      <c r="D127" s="28" t="s">
        <v>518</v>
      </c>
      <c r="E127" s="29"/>
      <c r="F127" s="29"/>
      <c r="G127" s="29"/>
      <c r="H127" s="29"/>
      <c r="I127" s="29"/>
      <c r="J127" s="29"/>
      <c r="K127" s="29"/>
      <c r="L127" s="29"/>
      <c r="M127" s="29">
        <v>16990.810000000001</v>
      </c>
      <c r="N127" s="30">
        <v>16988.78</v>
      </c>
      <c r="O127" s="30">
        <v>16990.43</v>
      </c>
      <c r="P127" s="30">
        <v>16993.04</v>
      </c>
      <c r="Q127" s="30">
        <v>16988.509999999998</v>
      </c>
      <c r="R127" s="30">
        <v>17120.84</v>
      </c>
      <c r="S127" s="30">
        <v>17119.96</v>
      </c>
      <c r="T127" s="30">
        <v>17005.78</v>
      </c>
      <c r="U127" s="30">
        <v>17094.48</v>
      </c>
      <c r="V127" s="30">
        <v>16988.310000000001</v>
      </c>
      <c r="W127" s="30">
        <v>17011.68</v>
      </c>
      <c r="X127" s="30">
        <v>16988.41</v>
      </c>
      <c r="Y127" s="30">
        <v>17009.54</v>
      </c>
      <c r="Z127" s="35">
        <v>16705.349999999999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1:41" x14ac:dyDescent="0.25">
      <c r="A128" s="27" t="s">
        <v>23</v>
      </c>
      <c r="B128" s="28" t="s">
        <v>195</v>
      </c>
      <c r="C128" s="29" t="s">
        <v>4</v>
      </c>
      <c r="D128" s="28" t="s">
        <v>519</v>
      </c>
      <c r="E128" s="29"/>
      <c r="F128" s="29"/>
      <c r="G128" s="29"/>
      <c r="H128" s="29"/>
      <c r="I128" s="29"/>
      <c r="J128" s="29"/>
      <c r="K128" s="29"/>
      <c r="L128" s="29"/>
      <c r="M128" s="29">
        <v>15728.38</v>
      </c>
      <c r="N128" s="30">
        <v>15733.53</v>
      </c>
      <c r="O128" s="30">
        <v>15729.42</v>
      </c>
      <c r="P128" s="30">
        <v>15739.69</v>
      </c>
      <c r="Q128" s="30">
        <v>15727.66</v>
      </c>
      <c r="R128" s="30">
        <v>15768.89</v>
      </c>
      <c r="S128" s="30">
        <v>15849.34</v>
      </c>
      <c r="T128" s="30">
        <v>15743.63</v>
      </c>
      <c r="U128" s="30">
        <v>15825.75</v>
      </c>
      <c r="V128" s="30">
        <v>15727.46</v>
      </c>
      <c r="W128" s="30">
        <v>15749.09</v>
      </c>
      <c r="X128" s="30">
        <v>15727.55</v>
      </c>
      <c r="Y128" s="30">
        <v>15747.12</v>
      </c>
      <c r="Z128" s="35">
        <v>15585.65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1:41" x14ac:dyDescent="0.25">
      <c r="A129" s="27" t="s">
        <v>24</v>
      </c>
      <c r="B129" s="28" t="s">
        <v>183</v>
      </c>
      <c r="C129" s="29" t="s">
        <v>12</v>
      </c>
      <c r="D129" s="28" t="s">
        <v>520</v>
      </c>
      <c r="E129" s="29"/>
      <c r="F129" s="29"/>
      <c r="G129" s="29"/>
      <c r="H129" s="29"/>
      <c r="I129" s="29"/>
      <c r="J129" s="29"/>
      <c r="K129" s="29"/>
      <c r="L129" s="29"/>
      <c r="M129" s="29">
        <v>51798.6</v>
      </c>
      <c r="N129" s="30">
        <v>51875.64</v>
      </c>
      <c r="O129" s="30">
        <v>51796.79</v>
      </c>
      <c r="P129" s="30">
        <v>51830.87</v>
      </c>
      <c r="Q129" s="30">
        <v>51790.52</v>
      </c>
      <c r="R129" s="30">
        <v>51832.57</v>
      </c>
      <c r="S129" s="30">
        <v>52191.69</v>
      </c>
      <c r="T129" s="30">
        <v>51843.56</v>
      </c>
      <c r="U129" s="30">
        <v>52114</v>
      </c>
      <c r="V129" s="30">
        <v>51790.32</v>
      </c>
      <c r="W129" s="30">
        <v>51861.56</v>
      </c>
      <c r="X129" s="30">
        <v>51790.62</v>
      </c>
      <c r="Y129" s="30">
        <v>51855.05</v>
      </c>
      <c r="Z129" s="35">
        <v>51718.96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x14ac:dyDescent="0.25">
      <c r="A130" s="27" t="s">
        <v>59</v>
      </c>
      <c r="B130" s="28" t="s">
        <v>196</v>
      </c>
      <c r="C130" s="29" t="s">
        <v>54</v>
      </c>
      <c r="D130" s="28" t="s">
        <v>521</v>
      </c>
      <c r="E130" s="29"/>
      <c r="F130" s="29"/>
      <c r="G130" s="29"/>
      <c r="H130" s="29"/>
      <c r="I130" s="29"/>
      <c r="J130" s="29"/>
      <c r="K130" s="29"/>
      <c r="L130" s="29"/>
      <c r="M130" s="29">
        <v>57560.37</v>
      </c>
      <c r="N130" s="30">
        <v>59977.64</v>
      </c>
      <c r="O130" s="30">
        <v>57558.31</v>
      </c>
      <c r="P130" s="30">
        <v>57573.56</v>
      </c>
      <c r="Q130" s="30">
        <v>57551.37</v>
      </c>
      <c r="R130" s="30">
        <v>58181.67</v>
      </c>
      <c r="S130" s="30">
        <v>57997.13</v>
      </c>
      <c r="T130" s="30">
        <v>57610.29</v>
      </c>
      <c r="U130" s="30">
        <v>57910.81</v>
      </c>
      <c r="V130" s="30">
        <v>57551.12</v>
      </c>
      <c r="W130" s="30">
        <v>57630.28</v>
      </c>
      <c r="X130" s="30">
        <v>57551.46</v>
      </c>
      <c r="Y130" s="30">
        <v>57623.05</v>
      </c>
      <c r="Z130" s="35">
        <v>57911.45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x14ac:dyDescent="0.25">
      <c r="A131" s="27" t="s">
        <v>25</v>
      </c>
      <c r="B131" s="28" t="s">
        <v>522</v>
      </c>
      <c r="C131" s="29" t="s">
        <v>4</v>
      </c>
      <c r="D131" s="28" t="s">
        <v>523</v>
      </c>
      <c r="E131" s="29"/>
      <c r="F131" s="29"/>
      <c r="G131" s="29"/>
      <c r="H131" s="29"/>
      <c r="I131" s="29"/>
      <c r="J131" s="29"/>
      <c r="K131" s="29"/>
      <c r="L131" s="29"/>
      <c r="M131" s="29">
        <v>23117.71</v>
      </c>
      <c r="N131" s="30">
        <v>23133.99</v>
      </c>
      <c r="O131" s="30">
        <v>23114.97</v>
      </c>
      <c r="P131" s="30">
        <v>23118.79</v>
      </c>
      <c r="Q131" s="30">
        <v>23112.23</v>
      </c>
      <c r="R131" s="30">
        <v>23366.09</v>
      </c>
      <c r="S131" s="29">
        <v>23291.200000000001</v>
      </c>
      <c r="T131" s="30">
        <v>23135.83</v>
      </c>
      <c r="U131" s="30">
        <v>23256.53</v>
      </c>
      <c r="V131" s="30">
        <v>23112.09</v>
      </c>
      <c r="W131" s="30">
        <v>23143.87</v>
      </c>
      <c r="X131" s="30">
        <v>23112.22</v>
      </c>
      <c r="Y131" s="30">
        <v>23140.97</v>
      </c>
      <c r="Z131" s="35">
        <v>23786.44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x14ac:dyDescent="0.25">
      <c r="A132" s="27" t="s">
        <v>26</v>
      </c>
      <c r="B132" s="28" t="s">
        <v>524</v>
      </c>
      <c r="C132" s="29" t="s">
        <v>4</v>
      </c>
      <c r="D132" s="28" t="s">
        <v>525</v>
      </c>
      <c r="E132" s="29"/>
      <c r="F132" s="29"/>
      <c r="G132" s="29"/>
      <c r="H132" s="29"/>
      <c r="I132" s="29"/>
      <c r="J132" s="29"/>
      <c r="K132" s="29"/>
      <c r="L132" s="29"/>
      <c r="M132" s="29">
        <v>31634.82</v>
      </c>
      <c r="N132" s="30">
        <v>31659.59</v>
      </c>
      <c r="O132" s="30">
        <v>31634.11</v>
      </c>
      <c r="P132" s="30">
        <v>31649.23</v>
      </c>
      <c r="Q132" s="30">
        <v>31630.37</v>
      </c>
      <c r="R132" s="30">
        <v>31950.92</v>
      </c>
      <c r="S132" s="30">
        <v>31875.29</v>
      </c>
      <c r="T132" s="30">
        <v>31662.7</v>
      </c>
      <c r="U132" s="30">
        <v>31827.85</v>
      </c>
      <c r="V132" s="30">
        <v>31630.17</v>
      </c>
      <c r="W132" s="30">
        <v>31673.68</v>
      </c>
      <c r="X132" s="30">
        <v>31630.25</v>
      </c>
      <c r="Y132" s="30">
        <v>31669.7</v>
      </c>
      <c r="Z132" s="35">
        <v>32794.69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1:41" x14ac:dyDescent="0.25">
      <c r="A133" s="27" t="s">
        <v>60</v>
      </c>
      <c r="B133" s="28" t="s">
        <v>201</v>
      </c>
      <c r="C133" s="29" t="s">
        <v>4</v>
      </c>
      <c r="D133" s="28" t="s">
        <v>526</v>
      </c>
      <c r="E133" s="29"/>
      <c r="F133" s="29"/>
      <c r="G133" s="29"/>
      <c r="H133" s="29"/>
      <c r="I133" s="29"/>
      <c r="J133" s="29"/>
      <c r="K133" s="29"/>
      <c r="L133" s="29"/>
      <c r="M133" s="29">
        <v>19458.509999999998</v>
      </c>
      <c r="N133" s="30">
        <v>19462.810000000001</v>
      </c>
      <c r="O133" s="30">
        <v>19458.91</v>
      </c>
      <c r="P133" s="30">
        <v>19467.16</v>
      </c>
      <c r="Q133" s="30">
        <v>19456.63</v>
      </c>
      <c r="R133" s="30">
        <v>19511.02</v>
      </c>
      <c r="S133" s="30">
        <v>19607.27</v>
      </c>
      <c r="T133" s="30">
        <v>19476.490000000002</v>
      </c>
      <c r="U133" s="30">
        <v>19578.080000000002</v>
      </c>
      <c r="V133" s="30">
        <v>19456.490000000002</v>
      </c>
      <c r="W133" s="30">
        <v>19483.25</v>
      </c>
      <c r="X133" s="30">
        <v>19456.599999999999</v>
      </c>
      <c r="Y133" s="30">
        <v>19480.8</v>
      </c>
      <c r="Z133" s="35">
        <v>19875.55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x14ac:dyDescent="0.25">
      <c r="A134" s="27" t="s">
        <v>61</v>
      </c>
      <c r="B134" s="28" t="s">
        <v>202</v>
      </c>
      <c r="C134" s="29" t="s">
        <v>4</v>
      </c>
      <c r="D134" s="28" t="s">
        <v>527</v>
      </c>
      <c r="E134" s="29"/>
      <c r="F134" s="29"/>
      <c r="G134" s="29"/>
      <c r="H134" s="29"/>
      <c r="I134" s="29"/>
      <c r="J134" s="29"/>
      <c r="K134" s="29"/>
      <c r="L134" s="29"/>
      <c r="M134" s="29">
        <v>25055.35</v>
      </c>
      <c r="N134" s="30">
        <v>25063.26</v>
      </c>
      <c r="O134" s="30">
        <v>25056.54</v>
      </c>
      <c r="P134" s="30">
        <v>25058.39</v>
      </c>
      <c r="Q134" s="30">
        <v>25053.43</v>
      </c>
      <c r="R134" s="30">
        <v>25176.880000000001</v>
      </c>
      <c r="S134" s="30">
        <v>25247.57</v>
      </c>
      <c r="T134" s="30">
        <v>25079.18</v>
      </c>
      <c r="U134" s="30">
        <v>25209.99</v>
      </c>
      <c r="V134" s="30">
        <v>25053.42</v>
      </c>
      <c r="W134" s="30">
        <v>25087.88</v>
      </c>
      <c r="X134" s="30">
        <v>25053.56</v>
      </c>
      <c r="Y134" s="30">
        <v>25084.720000000001</v>
      </c>
      <c r="Z134" s="35">
        <v>25401.65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1:41" x14ac:dyDescent="0.25">
      <c r="A135" s="27" t="s">
        <v>62</v>
      </c>
      <c r="B135" s="28" t="s">
        <v>203</v>
      </c>
      <c r="C135" s="29" t="s">
        <v>2</v>
      </c>
      <c r="D135" s="28" t="s">
        <v>528</v>
      </c>
      <c r="E135" s="29"/>
      <c r="F135" s="29"/>
      <c r="G135" s="29"/>
      <c r="H135" s="29"/>
      <c r="I135" s="29"/>
      <c r="J135" s="29"/>
      <c r="K135" s="29"/>
      <c r="L135" s="29"/>
      <c r="M135" s="29">
        <v>12672.43</v>
      </c>
      <c r="N135" s="30">
        <v>12671.1</v>
      </c>
      <c r="O135" s="30">
        <v>12670.89</v>
      </c>
      <c r="P135" s="30">
        <v>12677.1</v>
      </c>
      <c r="Q135" s="30">
        <v>12669.44</v>
      </c>
      <c r="R135" s="30">
        <v>12739.69</v>
      </c>
      <c r="S135" s="30">
        <v>12767.49</v>
      </c>
      <c r="T135" s="30">
        <v>12682.34</v>
      </c>
      <c r="U135" s="30">
        <v>12748.49</v>
      </c>
      <c r="V135" s="30">
        <v>12669.31</v>
      </c>
      <c r="W135" s="30">
        <v>12686.73</v>
      </c>
      <c r="X135" s="30">
        <v>12669.38</v>
      </c>
      <c r="Y135" s="30">
        <v>12685.14</v>
      </c>
      <c r="Z135" s="35">
        <v>12651.86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spans="1:41" x14ac:dyDescent="0.25">
      <c r="A136" s="27" t="s">
        <v>30</v>
      </c>
      <c r="B136" s="28" t="s">
        <v>204</v>
      </c>
      <c r="C136" s="29" t="s">
        <v>4</v>
      </c>
      <c r="D136" s="28" t="s">
        <v>529</v>
      </c>
      <c r="E136" s="29"/>
      <c r="F136" s="29"/>
      <c r="G136" s="29"/>
      <c r="H136" s="29"/>
      <c r="I136" s="29"/>
      <c r="J136" s="29"/>
      <c r="K136" s="29"/>
      <c r="L136" s="29"/>
      <c r="M136" s="29">
        <v>22454.41</v>
      </c>
      <c r="N136" s="30">
        <v>22454.53</v>
      </c>
      <c r="O136" s="30">
        <v>22457.15</v>
      </c>
      <c r="P136" s="30">
        <v>22474.79</v>
      </c>
      <c r="Q136" s="30">
        <v>22454.37</v>
      </c>
      <c r="R136" s="30">
        <v>22664.61</v>
      </c>
      <c r="S136" s="30">
        <v>22628.37</v>
      </c>
      <c r="T136" s="30">
        <v>22477.439999999999</v>
      </c>
      <c r="U136" s="30">
        <v>22594.68</v>
      </c>
      <c r="V136" s="30">
        <v>22454.35</v>
      </c>
      <c r="W136" s="30">
        <v>22485.24</v>
      </c>
      <c r="X136" s="30">
        <v>22454.48</v>
      </c>
      <c r="Y136" s="30">
        <v>22482.41</v>
      </c>
      <c r="Z136" s="35">
        <v>22251.88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spans="1:41" x14ac:dyDescent="0.25">
      <c r="A137" s="27" t="s">
        <v>31</v>
      </c>
      <c r="B137" s="28" t="s">
        <v>205</v>
      </c>
      <c r="C137" s="29" t="s">
        <v>12</v>
      </c>
      <c r="D137" s="28" t="s">
        <v>530</v>
      </c>
      <c r="E137" s="29"/>
      <c r="F137" s="29"/>
      <c r="G137" s="29"/>
      <c r="H137" s="29"/>
      <c r="I137" s="29"/>
      <c r="J137" s="29"/>
      <c r="K137" s="29"/>
      <c r="L137" s="29"/>
      <c r="M137" s="29">
        <v>46088.43</v>
      </c>
      <c r="N137" s="30">
        <v>46088.63</v>
      </c>
      <c r="O137" s="30">
        <v>46082.97</v>
      </c>
      <c r="P137" s="30">
        <v>46080.99</v>
      </c>
      <c r="Q137" s="30">
        <v>46077.71</v>
      </c>
      <c r="R137" s="30">
        <v>46353.61</v>
      </c>
      <c r="S137" s="30">
        <v>46434.31</v>
      </c>
      <c r="T137" s="30">
        <v>46124.6</v>
      </c>
      <c r="U137" s="30">
        <v>46365.19</v>
      </c>
      <c r="V137" s="30">
        <v>46077.61</v>
      </c>
      <c r="W137" s="30">
        <v>46140.6</v>
      </c>
      <c r="X137" s="30">
        <v>46077.53</v>
      </c>
      <c r="Y137" s="30">
        <v>46133.61</v>
      </c>
      <c r="Z137" s="35">
        <v>44957.79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spans="1:41" x14ac:dyDescent="0.25">
      <c r="A138" s="27" t="s">
        <v>166</v>
      </c>
      <c r="B138" s="28" t="s">
        <v>206</v>
      </c>
      <c r="C138" s="29" t="s">
        <v>4</v>
      </c>
      <c r="D138" s="28" t="s">
        <v>531</v>
      </c>
      <c r="E138" s="29"/>
      <c r="F138" s="29"/>
      <c r="G138" s="29"/>
      <c r="H138" s="29"/>
      <c r="I138" s="29"/>
      <c r="J138" s="29"/>
      <c r="K138" s="29"/>
      <c r="L138" s="29"/>
      <c r="M138" s="29">
        <v>69552.05</v>
      </c>
      <c r="N138" s="30">
        <v>69536.2</v>
      </c>
      <c r="O138" s="30">
        <v>69544.479999999996</v>
      </c>
      <c r="P138" s="30">
        <v>69568.33</v>
      </c>
      <c r="Q138" s="30">
        <v>69536.070000000007</v>
      </c>
      <c r="R138" s="30">
        <v>69965</v>
      </c>
      <c r="S138" s="30">
        <v>70074.69</v>
      </c>
      <c r="T138" s="30">
        <v>69607.31</v>
      </c>
      <c r="U138" s="30">
        <v>69970.39</v>
      </c>
      <c r="V138" s="30">
        <v>69535.8</v>
      </c>
      <c r="W138" s="30">
        <v>69631.45</v>
      </c>
      <c r="X138" s="30">
        <v>69536.210000000006</v>
      </c>
      <c r="Y138" s="30">
        <v>69622.710000000006</v>
      </c>
      <c r="Z138" s="35">
        <v>67315.28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1:41" x14ac:dyDescent="0.25">
      <c r="A139" s="27" t="s">
        <v>63</v>
      </c>
      <c r="B139" s="28" t="s">
        <v>207</v>
      </c>
      <c r="C139" s="29" t="s">
        <v>4</v>
      </c>
      <c r="D139" s="28" t="s">
        <v>532</v>
      </c>
      <c r="E139" s="29"/>
      <c r="F139" s="29"/>
      <c r="G139" s="29"/>
      <c r="H139" s="29"/>
      <c r="I139" s="29"/>
      <c r="J139" s="29"/>
      <c r="K139" s="29"/>
      <c r="L139" s="29"/>
      <c r="M139" s="29">
        <v>80917.429999999993</v>
      </c>
      <c r="N139" s="30">
        <v>80894.899999999994</v>
      </c>
      <c r="O139" s="30">
        <v>80902.11</v>
      </c>
      <c r="P139" s="30">
        <v>80932.66</v>
      </c>
      <c r="Q139" s="30">
        <v>80892.52</v>
      </c>
      <c r="R139" s="30">
        <v>80973.36</v>
      </c>
      <c r="S139" s="30">
        <v>81518.91</v>
      </c>
      <c r="T139" s="30">
        <v>80975.179999999993</v>
      </c>
      <c r="U139" s="30">
        <v>81397.58</v>
      </c>
      <c r="V139" s="30">
        <v>80892</v>
      </c>
      <c r="W139" s="30">
        <v>81003.28</v>
      </c>
      <c r="X139" s="30">
        <v>80892.490000000005</v>
      </c>
      <c r="Y139" s="30">
        <v>80993.119999999995</v>
      </c>
      <c r="Z139" s="35">
        <v>78926.77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1:41" x14ac:dyDescent="0.25">
      <c r="A140" s="27" t="s">
        <v>32</v>
      </c>
      <c r="B140" s="28" t="s">
        <v>208</v>
      </c>
      <c r="C140" s="29" t="s">
        <v>4</v>
      </c>
      <c r="D140" s="28" t="s">
        <v>533</v>
      </c>
      <c r="E140" s="29"/>
      <c r="F140" s="29"/>
      <c r="G140" s="29"/>
      <c r="H140" s="29"/>
      <c r="I140" s="29"/>
      <c r="J140" s="29"/>
      <c r="K140" s="29"/>
      <c r="L140" s="29"/>
      <c r="M140" s="29">
        <v>81344.160000000003</v>
      </c>
      <c r="N140" s="30">
        <v>81397</v>
      </c>
      <c r="O140" s="30">
        <v>81348.289999999994</v>
      </c>
      <c r="P140" s="30">
        <v>81359.69</v>
      </c>
      <c r="Q140" s="30">
        <v>81338.55</v>
      </c>
      <c r="R140" s="30">
        <v>81705.5</v>
      </c>
      <c r="S140" s="30">
        <v>81968.490000000005</v>
      </c>
      <c r="T140" s="30">
        <v>81421.77</v>
      </c>
      <c r="U140" s="30">
        <v>81846.490000000005</v>
      </c>
      <c r="V140" s="30">
        <v>81338.12</v>
      </c>
      <c r="W140" s="30">
        <v>81450.02</v>
      </c>
      <c r="X140" s="30">
        <v>81338.61</v>
      </c>
      <c r="Y140" s="30">
        <v>81439.789999999994</v>
      </c>
      <c r="Z140" s="35">
        <v>79983.39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spans="1:41" x14ac:dyDescent="0.25">
      <c r="A141" s="27" t="s">
        <v>33</v>
      </c>
      <c r="B141" s="28" t="s">
        <v>209</v>
      </c>
      <c r="C141" s="29" t="s">
        <v>4</v>
      </c>
      <c r="D141" s="28" t="s">
        <v>534</v>
      </c>
      <c r="E141" s="29"/>
      <c r="F141" s="29"/>
      <c r="G141" s="29"/>
      <c r="H141" s="29"/>
      <c r="I141" s="29"/>
      <c r="J141" s="29"/>
      <c r="K141" s="29"/>
      <c r="L141" s="29"/>
      <c r="M141" s="29">
        <v>98223.08</v>
      </c>
      <c r="N141" s="30">
        <v>98239.77</v>
      </c>
      <c r="O141" s="30">
        <v>98201.05</v>
      </c>
      <c r="P141" s="30">
        <v>98245.11</v>
      </c>
      <c r="Q141" s="30">
        <v>98189.75</v>
      </c>
      <c r="R141" s="30">
        <v>98727.11</v>
      </c>
      <c r="S141" s="30">
        <v>98949.74</v>
      </c>
      <c r="T141" s="30">
        <v>98289.76</v>
      </c>
      <c r="U141" s="30">
        <v>98802.46</v>
      </c>
      <c r="V141" s="30">
        <v>98188.78</v>
      </c>
      <c r="W141" s="30">
        <v>98323.83</v>
      </c>
      <c r="X141" s="30">
        <v>98189.37</v>
      </c>
      <c r="Y141" s="30">
        <v>98311.51</v>
      </c>
      <c r="Z141" s="35">
        <v>97303.44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spans="1:41" x14ac:dyDescent="0.25">
      <c r="A142" s="27" t="s">
        <v>34</v>
      </c>
      <c r="B142" s="28" t="s">
        <v>210</v>
      </c>
      <c r="C142" s="29" t="s">
        <v>35</v>
      </c>
      <c r="D142" s="28" t="s">
        <v>535</v>
      </c>
      <c r="E142" s="29"/>
      <c r="F142" s="29"/>
      <c r="G142" s="29"/>
      <c r="H142" s="29"/>
      <c r="I142" s="29"/>
      <c r="J142" s="29"/>
      <c r="K142" s="29"/>
      <c r="L142" s="29"/>
      <c r="M142" s="29">
        <v>51804.15</v>
      </c>
      <c r="N142" s="30">
        <v>51792.76</v>
      </c>
      <c r="O142" s="30">
        <v>51795.05</v>
      </c>
      <c r="P142" s="30">
        <v>51798.46</v>
      </c>
      <c r="Q142" s="30">
        <v>51788.77</v>
      </c>
      <c r="R142" s="30">
        <v>51879.35</v>
      </c>
      <c r="S142" s="30">
        <v>52189.95</v>
      </c>
      <c r="T142" s="30">
        <v>51841.85</v>
      </c>
      <c r="U142" s="30">
        <v>52112.26</v>
      </c>
      <c r="V142" s="30">
        <v>51788.59</v>
      </c>
      <c r="W142" s="30">
        <v>51859.82</v>
      </c>
      <c r="X142" s="30">
        <v>51788.89</v>
      </c>
      <c r="Y142" s="30">
        <v>51853.32</v>
      </c>
      <c r="Z142" s="35">
        <v>52112.84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spans="1:41" x14ac:dyDescent="0.25">
      <c r="A143" s="27" t="s">
        <v>36</v>
      </c>
      <c r="B143" s="28" t="s">
        <v>211</v>
      </c>
      <c r="C143" s="29" t="s">
        <v>35</v>
      </c>
      <c r="D143" s="28" t="s">
        <v>536</v>
      </c>
      <c r="E143" s="29"/>
      <c r="F143" s="29"/>
      <c r="G143" s="29"/>
      <c r="H143" s="29"/>
      <c r="I143" s="29"/>
      <c r="J143" s="29"/>
      <c r="K143" s="29"/>
      <c r="L143" s="29"/>
      <c r="M143" s="29">
        <v>38912.410000000003</v>
      </c>
      <c r="N143" s="30">
        <v>38970.53</v>
      </c>
      <c r="O143" s="30">
        <v>38912.26</v>
      </c>
      <c r="P143" s="30">
        <v>38960.99</v>
      </c>
      <c r="Q143" s="30">
        <v>38907.56</v>
      </c>
      <c r="R143" s="30">
        <v>38968.86</v>
      </c>
      <c r="S143" s="30">
        <v>39208.93</v>
      </c>
      <c r="T143" s="30">
        <v>38947.410000000003</v>
      </c>
      <c r="U143" s="30">
        <v>39150.57</v>
      </c>
      <c r="V143" s="30">
        <v>38909.51</v>
      </c>
      <c r="W143" s="30">
        <v>38960.93</v>
      </c>
      <c r="X143" s="30">
        <v>38907.629999999997</v>
      </c>
      <c r="Y143" s="30">
        <v>38956.03</v>
      </c>
      <c r="Z143" s="35">
        <v>39448.21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spans="1:41" x14ac:dyDescent="0.25">
      <c r="A144" s="27" t="s">
        <v>37</v>
      </c>
      <c r="B144" s="28" t="s">
        <v>212</v>
      </c>
      <c r="C144" s="29" t="s">
        <v>4</v>
      </c>
      <c r="D144" s="28" t="s">
        <v>537</v>
      </c>
      <c r="E144" s="29"/>
      <c r="F144" s="29"/>
      <c r="G144" s="29"/>
      <c r="H144" s="29"/>
      <c r="I144" s="29"/>
      <c r="J144" s="29"/>
      <c r="K144" s="29"/>
      <c r="L144" s="29"/>
      <c r="M144" s="29">
        <v>11267.99</v>
      </c>
      <c r="N144" s="30">
        <v>11265.67</v>
      </c>
      <c r="O144" s="30">
        <v>11266.46</v>
      </c>
      <c r="P144" s="30">
        <v>11272.14</v>
      </c>
      <c r="Q144" s="30">
        <v>11265.11</v>
      </c>
      <c r="R144" s="30">
        <v>11380.57</v>
      </c>
      <c r="S144" s="29">
        <v>11352.35</v>
      </c>
      <c r="T144" s="30">
        <v>11276.63</v>
      </c>
      <c r="U144" s="30">
        <v>11335.45</v>
      </c>
      <c r="V144" s="30">
        <v>11265.66</v>
      </c>
      <c r="W144" s="30">
        <v>11280.54</v>
      </c>
      <c r="X144" s="30">
        <v>11265.12</v>
      </c>
      <c r="Y144" s="30">
        <v>11279.13</v>
      </c>
      <c r="Z144" s="35">
        <v>11679.8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spans="1:41" x14ac:dyDescent="0.25">
      <c r="A145" s="27" t="s">
        <v>38</v>
      </c>
      <c r="B145" s="28" t="s">
        <v>184</v>
      </c>
      <c r="C145" s="29" t="s">
        <v>4</v>
      </c>
      <c r="D145" s="28" t="s">
        <v>538</v>
      </c>
      <c r="E145" s="29"/>
      <c r="F145" s="29"/>
      <c r="G145" s="29"/>
      <c r="H145" s="29"/>
      <c r="I145" s="29"/>
      <c r="J145" s="29"/>
      <c r="K145" s="29"/>
      <c r="L145" s="29"/>
      <c r="M145" s="29">
        <v>11333.8</v>
      </c>
      <c r="N145" s="30">
        <v>11331.55</v>
      </c>
      <c r="O145" s="30">
        <v>11332.29</v>
      </c>
      <c r="P145" s="30">
        <v>11344.56</v>
      </c>
      <c r="Q145" s="30">
        <v>11330.95</v>
      </c>
      <c r="R145" s="30">
        <v>11456.89</v>
      </c>
      <c r="S145" s="29">
        <v>11418.69</v>
      </c>
      <c r="T145" s="30">
        <v>11342.52</v>
      </c>
      <c r="U145" s="30">
        <v>11401.69</v>
      </c>
      <c r="V145" s="30">
        <v>11330.89</v>
      </c>
      <c r="W145" s="30">
        <v>11346.45</v>
      </c>
      <c r="X145" s="30">
        <v>11330.94</v>
      </c>
      <c r="Y145" s="30">
        <v>11345.04</v>
      </c>
      <c r="Z145" s="35">
        <v>11661.48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1:41" x14ac:dyDescent="0.25">
      <c r="A146" s="27" t="s">
        <v>39</v>
      </c>
      <c r="B146" s="28" t="s">
        <v>213</v>
      </c>
      <c r="C146" s="29" t="s">
        <v>4</v>
      </c>
      <c r="D146" s="28" t="s">
        <v>539</v>
      </c>
      <c r="E146" s="29"/>
      <c r="F146" s="29"/>
      <c r="G146" s="29"/>
      <c r="H146" s="29"/>
      <c r="I146" s="29"/>
      <c r="J146" s="29"/>
      <c r="K146" s="29"/>
      <c r="L146" s="29"/>
      <c r="M146" s="29">
        <v>13706.04</v>
      </c>
      <c r="N146" s="30">
        <v>13702.04</v>
      </c>
      <c r="O146" s="30">
        <v>13702.75</v>
      </c>
      <c r="P146" s="30">
        <v>13710.84</v>
      </c>
      <c r="Q146" s="30">
        <v>13701.18</v>
      </c>
      <c r="R146" s="30">
        <v>13719.99</v>
      </c>
      <c r="S146" s="29">
        <v>13807.22</v>
      </c>
      <c r="T146" s="30">
        <v>13715.13</v>
      </c>
      <c r="U146" s="30">
        <v>13786.67</v>
      </c>
      <c r="V146" s="30">
        <v>13701.04</v>
      </c>
      <c r="W146" s="30">
        <v>13719.88</v>
      </c>
      <c r="X146" s="30">
        <v>13701.12</v>
      </c>
      <c r="Y146" s="30">
        <v>13718.17</v>
      </c>
      <c r="Z146" s="35">
        <v>13996.15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1:41" x14ac:dyDescent="0.25">
      <c r="A147" s="27" t="s">
        <v>40</v>
      </c>
      <c r="B147" s="28" t="s">
        <v>214</v>
      </c>
      <c r="C147" s="29" t="s">
        <v>4</v>
      </c>
      <c r="D147" s="28" t="s">
        <v>540</v>
      </c>
      <c r="E147" s="29"/>
      <c r="F147" s="29"/>
      <c r="G147" s="29"/>
      <c r="H147" s="29"/>
      <c r="I147" s="29"/>
      <c r="J147" s="29"/>
      <c r="K147" s="29"/>
      <c r="L147" s="29"/>
      <c r="M147" s="29">
        <v>17468.060000000001</v>
      </c>
      <c r="N147" s="30">
        <v>17464.61</v>
      </c>
      <c r="O147" s="30">
        <v>17466.259999999998</v>
      </c>
      <c r="P147" s="30">
        <v>17468.18</v>
      </c>
      <c r="Q147" s="30">
        <v>17464.189999999999</v>
      </c>
      <c r="R147" s="30">
        <v>17484.330000000002</v>
      </c>
      <c r="S147" s="29">
        <v>17599.419999999998</v>
      </c>
      <c r="T147" s="30">
        <v>17482.03</v>
      </c>
      <c r="U147" s="30">
        <v>17573.22</v>
      </c>
      <c r="V147" s="30">
        <v>17464.09</v>
      </c>
      <c r="W147" s="30">
        <v>17488.09</v>
      </c>
      <c r="X147" s="30">
        <v>17464.18</v>
      </c>
      <c r="Y147" s="30">
        <v>17485.900000000001</v>
      </c>
      <c r="Z147" s="35">
        <v>17706.830000000002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1:41" x14ac:dyDescent="0.25">
      <c r="A148" s="27" t="s">
        <v>41</v>
      </c>
      <c r="B148" s="28" t="s">
        <v>212</v>
      </c>
      <c r="C148" s="29" t="s">
        <v>4</v>
      </c>
      <c r="D148" s="28" t="s">
        <v>541</v>
      </c>
      <c r="E148" s="29"/>
      <c r="F148" s="29"/>
      <c r="G148" s="29"/>
      <c r="H148" s="29"/>
      <c r="I148" s="29"/>
      <c r="J148" s="29"/>
      <c r="K148" s="29"/>
      <c r="L148" s="29"/>
      <c r="M148" s="29">
        <v>3888.36</v>
      </c>
      <c r="N148" s="30">
        <v>3887.98</v>
      </c>
      <c r="O148" s="30">
        <v>3888.26</v>
      </c>
      <c r="P148" s="30">
        <v>3890.68</v>
      </c>
      <c r="Q148" s="30">
        <v>3887.81</v>
      </c>
      <c r="R148" s="30">
        <v>3893.63</v>
      </c>
      <c r="S148" s="29">
        <v>3917.91</v>
      </c>
      <c r="T148" s="30">
        <v>3891.78</v>
      </c>
      <c r="U148" s="30">
        <v>3912.07</v>
      </c>
      <c r="V148" s="30">
        <v>3887.78</v>
      </c>
      <c r="W148" s="30">
        <v>3893.13</v>
      </c>
      <c r="X148" s="30">
        <v>3887.8</v>
      </c>
      <c r="Y148" s="30">
        <v>3892.64</v>
      </c>
      <c r="Z148" s="35">
        <v>3882.42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1:41" x14ac:dyDescent="0.25">
      <c r="A149" s="27" t="s">
        <v>42</v>
      </c>
      <c r="B149" s="28" t="s">
        <v>215</v>
      </c>
      <c r="C149" s="29" t="s">
        <v>4</v>
      </c>
      <c r="D149" s="28" t="s">
        <v>542</v>
      </c>
      <c r="E149" s="29"/>
      <c r="F149" s="29"/>
      <c r="G149" s="29"/>
      <c r="H149" s="29"/>
      <c r="I149" s="29"/>
      <c r="J149" s="29"/>
      <c r="K149" s="29"/>
      <c r="L149" s="29"/>
      <c r="M149" s="29">
        <v>4507.1899999999996</v>
      </c>
      <c r="N149" s="30">
        <v>4506.5600000000004</v>
      </c>
      <c r="O149" s="30">
        <v>4506.68</v>
      </c>
      <c r="P149" s="30">
        <v>4506.4399999999996</v>
      </c>
      <c r="Q149" s="30">
        <v>4506.16</v>
      </c>
      <c r="R149" s="30">
        <v>4514.21</v>
      </c>
      <c r="S149" s="29">
        <v>4541.03</v>
      </c>
      <c r="T149" s="30">
        <v>4510.75</v>
      </c>
      <c r="U149" s="30">
        <v>4534.28</v>
      </c>
      <c r="V149" s="30">
        <v>4506.12</v>
      </c>
      <c r="W149" s="30">
        <v>4512.3100000000004</v>
      </c>
      <c r="X149" s="30">
        <v>4506.1400000000003</v>
      </c>
      <c r="Y149" s="30">
        <v>4511.74</v>
      </c>
      <c r="Z149" s="35">
        <v>4465.4799999999996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1:41" x14ac:dyDescent="0.25">
      <c r="A150" s="27" t="s">
        <v>43</v>
      </c>
      <c r="B150" s="28" t="s">
        <v>184</v>
      </c>
      <c r="C150" s="29" t="s">
        <v>4</v>
      </c>
      <c r="D150" s="28" t="s">
        <v>543</v>
      </c>
      <c r="E150" s="29"/>
      <c r="F150" s="29"/>
      <c r="G150" s="29"/>
      <c r="H150" s="29"/>
      <c r="I150" s="29"/>
      <c r="J150" s="29"/>
      <c r="K150" s="29"/>
      <c r="L150" s="29"/>
      <c r="M150" s="29">
        <v>3889.73</v>
      </c>
      <c r="N150" s="30">
        <v>3888.55</v>
      </c>
      <c r="O150" s="30">
        <v>3888.97</v>
      </c>
      <c r="P150" s="30">
        <v>3918.58</v>
      </c>
      <c r="Q150" s="30">
        <v>3888.53</v>
      </c>
      <c r="R150" s="30">
        <v>3895.33</v>
      </c>
      <c r="S150" s="29">
        <v>3918.62</v>
      </c>
      <c r="T150" s="30">
        <v>3892.49</v>
      </c>
      <c r="U150" s="30">
        <v>3912.79</v>
      </c>
      <c r="V150" s="30">
        <v>3888.54</v>
      </c>
      <c r="W150" s="30">
        <v>3893.83</v>
      </c>
      <c r="X150" s="30">
        <v>3888.51</v>
      </c>
      <c r="Y150" s="30">
        <v>3893.35</v>
      </c>
      <c r="Z150" s="35">
        <v>3823.72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1:41" x14ac:dyDescent="0.25">
      <c r="A151" s="27" t="s">
        <v>44</v>
      </c>
      <c r="B151" s="28" t="s">
        <v>216</v>
      </c>
      <c r="C151" s="29" t="s">
        <v>35</v>
      </c>
      <c r="D151" s="28" t="s">
        <v>544</v>
      </c>
      <c r="E151" s="29"/>
      <c r="F151" s="29"/>
      <c r="G151" s="29"/>
      <c r="H151" s="29"/>
      <c r="I151" s="29"/>
      <c r="J151" s="29"/>
      <c r="K151" s="29"/>
      <c r="L151" s="29"/>
      <c r="M151" s="29">
        <v>3988.67</v>
      </c>
      <c r="N151" s="30">
        <v>4001.48</v>
      </c>
      <c r="O151" s="30">
        <v>3988.12</v>
      </c>
      <c r="P151" s="30">
        <v>3996.52</v>
      </c>
      <c r="Q151" s="30">
        <v>3987.68</v>
      </c>
      <c r="R151" s="30">
        <v>4002.75</v>
      </c>
      <c r="S151" s="30">
        <v>4018.53</v>
      </c>
      <c r="T151" s="30">
        <v>3991.71</v>
      </c>
      <c r="U151" s="30">
        <v>4012.55</v>
      </c>
      <c r="V151" s="30">
        <v>3987.63</v>
      </c>
      <c r="W151" s="30">
        <v>3993.09</v>
      </c>
      <c r="X151" s="30">
        <v>3987.65</v>
      </c>
      <c r="Y151" s="30">
        <v>3992.61</v>
      </c>
      <c r="Z151" s="35">
        <v>3860.29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1:41" x14ac:dyDescent="0.25">
      <c r="A152" s="27" t="s">
        <v>45</v>
      </c>
      <c r="B152" s="28" t="s">
        <v>217</v>
      </c>
      <c r="C152" s="29" t="s">
        <v>35</v>
      </c>
      <c r="D152" s="28" t="s">
        <v>545</v>
      </c>
      <c r="E152" s="29"/>
      <c r="F152" s="29"/>
      <c r="G152" s="29"/>
      <c r="H152" s="29"/>
      <c r="I152" s="29"/>
      <c r="J152" s="29"/>
      <c r="K152" s="29"/>
      <c r="L152" s="29"/>
      <c r="M152" s="29">
        <v>22606.59</v>
      </c>
      <c r="N152" s="30">
        <v>22650.29</v>
      </c>
      <c r="O152" s="30">
        <v>22602.2</v>
      </c>
      <c r="P152" s="30">
        <v>22604.9</v>
      </c>
      <c r="Q152" s="30">
        <v>22599.54</v>
      </c>
      <c r="R152" s="30">
        <v>22601.360000000001</v>
      </c>
      <c r="S152" s="30">
        <v>22774.52</v>
      </c>
      <c r="T152" s="30">
        <v>22622.62</v>
      </c>
      <c r="U152" s="30">
        <v>22740.62</v>
      </c>
      <c r="V152" s="30">
        <v>22599.38</v>
      </c>
      <c r="W152" s="30">
        <v>22630.46</v>
      </c>
      <c r="X152" s="30">
        <v>22599.51</v>
      </c>
      <c r="Y152" s="30">
        <v>22627.63</v>
      </c>
      <c r="Z152" s="35">
        <v>21705.08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spans="1:41" x14ac:dyDescent="0.25">
      <c r="A153" s="27" t="s">
        <v>46</v>
      </c>
      <c r="B153" s="28" t="s">
        <v>219</v>
      </c>
      <c r="C153" s="29" t="s">
        <v>35</v>
      </c>
      <c r="D153" s="28" t="s">
        <v>546</v>
      </c>
      <c r="E153" s="29"/>
      <c r="F153" s="29"/>
      <c r="G153" s="29"/>
      <c r="H153" s="29"/>
      <c r="I153" s="29"/>
      <c r="J153" s="29"/>
      <c r="K153" s="29"/>
      <c r="L153" s="29"/>
      <c r="M153" s="29">
        <v>37880.18</v>
      </c>
      <c r="N153" s="30">
        <v>37869.599999999999</v>
      </c>
      <c r="O153" s="30">
        <v>37871.440000000002</v>
      </c>
      <c r="P153" s="30">
        <v>37889.279999999999</v>
      </c>
      <c r="Q153" s="30">
        <v>37867.199999999997</v>
      </c>
      <c r="R153" s="30">
        <v>38285.050000000003</v>
      </c>
      <c r="S153" s="29">
        <v>38160.17</v>
      </c>
      <c r="T153" s="30">
        <v>37905.65</v>
      </c>
      <c r="U153" s="30">
        <v>38103.370000000003</v>
      </c>
      <c r="V153" s="30">
        <v>37866.71</v>
      </c>
      <c r="W153" s="30">
        <v>37918.79</v>
      </c>
      <c r="X153" s="30">
        <v>37866.949999999997</v>
      </c>
      <c r="Y153" s="30">
        <v>37914.04</v>
      </c>
      <c r="Z153" s="35">
        <v>36657.49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spans="1:41" x14ac:dyDescent="0.25">
      <c r="A154" s="27" t="s">
        <v>48</v>
      </c>
      <c r="B154" s="28" t="s">
        <v>220</v>
      </c>
      <c r="C154" s="29" t="s">
        <v>35</v>
      </c>
      <c r="D154" s="28" t="s">
        <v>547</v>
      </c>
      <c r="E154" s="29"/>
      <c r="F154" s="29"/>
      <c r="G154" s="29"/>
      <c r="H154" s="29"/>
      <c r="I154" s="29"/>
      <c r="J154" s="29"/>
      <c r="K154" s="29"/>
      <c r="L154" s="29"/>
      <c r="M154" s="29">
        <v>20778.13</v>
      </c>
      <c r="N154" s="30">
        <v>20789.240000000002</v>
      </c>
      <c r="O154" s="30">
        <v>20774</v>
      </c>
      <c r="P154" s="30">
        <v>20795.37</v>
      </c>
      <c r="Q154" s="30">
        <v>20771.43</v>
      </c>
      <c r="R154" s="30">
        <v>20900.89</v>
      </c>
      <c r="S154" s="30">
        <v>20932.38</v>
      </c>
      <c r="T154" s="30">
        <v>20792.759999999998</v>
      </c>
      <c r="U154" s="30">
        <v>20901.22</v>
      </c>
      <c r="V154" s="30">
        <v>20771.41</v>
      </c>
      <c r="W154" s="30">
        <v>20799.97</v>
      </c>
      <c r="X154" s="30">
        <v>20771.53</v>
      </c>
      <c r="Y154" s="30">
        <v>20797.36</v>
      </c>
      <c r="Z154" s="35">
        <v>20425.439999999999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spans="1:41" x14ac:dyDescent="0.25">
      <c r="A155" s="27" t="s">
        <v>49</v>
      </c>
      <c r="B155" s="28" t="s">
        <v>221</v>
      </c>
      <c r="C155" s="29" t="s">
        <v>35</v>
      </c>
      <c r="D155" s="28" t="s">
        <v>548</v>
      </c>
      <c r="E155" s="29"/>
      <c r="F155" s="29"/>
      <c r="G155" s="29"/>
      <c r="H155" s="29"/>
      <c r="I155" s="29"/>
      <c r="J155" s="29"/>
      <c r="K155" s="29"/>
      <c r="L155" s="29"/>
      <c r="M155" s="29">
        <v>68960.05</v>
      </c>
      <c r="N155" s="30">
        <v>68966.22</v>
      </c>
      <c r="O155" s="30">
        <v>68954.41</v>
      </c>
      <c r="P155" s="30">
        <v>69002.5</v>
      </c>
      <c r="Q155" s="30">
        <v>68945.97</v>
      </c>
      <c r="R155" s="30">
        <v>69134.679999999993</v>
      </c>
      <c r="S155" s="30">
        <v>69480.12</v>
      </c>
      <c r="T155" s="30">
        <v>69016.710000000006</v>
      </c>
      <c r="U155" s="30">
        <v>69376.7</v>
      </c>
      <c r="V155" s="30">
        <v>68945.8</v>
      </c>
      <c r="W155" s="30">
        <v>69040.639999999999</v>
      </c>
      <c r="X155" s="30">
        <v>68946.210000000006</v>
      </c>
      <c r="Y155" s="30">
        <v>69031.97</v>
      </c>
      <c r="Z155" s="35">
        <v>68324.13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spans="1:41" x14ac:dyDescent="0.25">
      <c r="A156" s="27" t="s">
        <v>64</v>
      </c>
      <c r="B156" s="28" t="s">
        <v>222</v>
      </c>
      <c r="C156" s="29" t="s">
        <v>35</v>
      </c>
      <c r="D156" s="28" t="s">
        <v>549</v>
      </c>
      <c r="E156" s="29"/>
      <c r="F156" s="29"/>
      <c r="G156" s="29"/>
      <c r="H156" s="29"/>
      <c r="I156" s="29"/>
      <c r="J156" s="29"/>
      <c r="K156" s="29"/>
      <c r="L156" s="29"/>
      <c r="M156" s="29">
        <v>9700.19</v>
      </c>
      <c r="N156" s="30">
        <v>9703.9</v>
      </c>
      <c r="O156" s="30">
        <v>9700.5499999999993</v>
      </c>
      <c r="P156" s="30">
        <v>9702.2999999999993</v>
      </c>
      <c r="Q156" s="30">
        <v>9699.43</v>
      </c>
      <c r="R156" s="30">
        <v>9764.24</v>
      </c>
      <c r="S156" s="30">
        <v>9774.51</v>
      </c>
      <c r="T156" s="30">
        <v>9709.32</v>
      </c>
      <c r="U156" s="30">
        <v>9759.9599999999991</v>
      </c>
      <c r="V156" s="30">
        <v>9700.2000000000007</v>
      </c>
      <c r="W156" s="30">
        <v>9712.68</v>
      </c>
      <c r="X156" s="30">
        <v>9699.39</v>
      </c>
      <c r="Y156" s="30">
        <v>9711.4599999999991</v>
      </c>
      <c r="Z156" s="35">
        <v>9685.9699999999993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spans="1:41" x14ac:dyDescent="0.25">
      <c r="A157" s="27" t="s">
        <v>50</v>
      </c>
      <c r="B157" s="28" t="s">
        <v>185</v>
      </c>
      <c r="C157" s="29" t="s">
        <v>4</v>
      </c>
      <c r="D157" s="28" t="s">
        <v>550</v>
      </c>
      <c r="E157" s="29"/>
      <c r="F157" s="29"/>
      <c r="G157" s="29"/>
      <c r="H157" s="29"/>
      <c r="I157" s="29"/>
      <c r="J157" s="29"/>
      <c r="K157" s="29"/>
      <c r="L157" s="29"/>
      <c r="M157" s="29">
        <v>22348.67</v>
      </c>
      <c r="N157" s="30">
        <v>22342.9</v>
      </c>
      <c r="O157" s="30">
        <v>22344.39</v>
      </c>
      <c r="P157" s="30">
        <v>22344.82</v>
      </c>
      <c r="Q157" s="30">
        <v>22341.78</v>
      </c>
      <c r="R157" s="30">
        <v>22376.55</v>
      </c>
      <c r="S157" s="30">
        <v>22514.75</v>
      </c>
      <c r="T157" s="30">
        <v>22364.59</v>
      </c>
      <c r="U157" s="30">
        <v>22481.24</v>
      </c>
      <c r="V157" s="30">
        <v>22341.599999999999</v>
      </c>
      <c r="W157" s="30">
        <v>22372.34</v>
      </c>
      <c r="X157" s="30">
        <v>22341.73</v>
      </c>
      <c r="Y157" s="30">
        <v>22369.53</v>
      </c>
      <c r="Z157" s="35">
        <v>22822.82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spans="1:41" x14ac:dyDescent="0.25">
      <c r="A158" s="27" t="s">
        <v>51</v>
      </c>
      <c r="B158" s="28" t="s">
        <v>186</v>
      </c>
      <c r="C158" s="29" t="s">
        <v>4</v>
      </c>
      <c r="D158" s="28" t="s">
        <v>551</v>
      </c>
      <c r="E158" s="29"/>
      <c r="F158" s="29"/>
      <c r="G158" s="29"/>
      <c r="H158" s="29"/>
      <c r="I158" s="29"/>
      <c r="J158" s="29"/>
      <c r="K158" s="29"/>
      <c r="L158" s="29"/>
      <c r="M158" s="29">
        <v>25423.68</v>
      </c>
      <c r="N158" s="30">
        <v>25470.89</v>
      </c>
      <c r="O158" s="30">
        <v>25426.38</v>
      </c>
      <c r="P158" s="30">
        <v>25438.639999999999</v>
      </c>
      <c r="Q158" s="30">
        <v>25423.64</v>
      </c>
      <c r="R158" s="30">
        <v>25582.77</v>
      </c>
      <c r="S158" s="30">
        <v>25620.23</v>
      </c>
      <c r="T158" s="30">
        <v>25449.34</v>
      </c>
      <c r="U158" s="30">
        <v>25582.11</v>
      </c>
      <c r="V158" s="30">
        <v>25423.200000000001</v>
      </c>
      <c r="W158" s="30">
        <v>25458.18</v>
      </c>
      <c r="X158" s="30">
        <v>25423.35</v>
      </c>
      <c r="Y158" s="30">
        <v>25454.98</v>
      </c>
      <c r="Z158" s="35">
        <v>26164.99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spans="1:41" x14ac:dyDescent="0.25">
      <c r="A159" s="27" t="s">
        <v>52</v>
      </c>
      <c r="B159" s="28" t="s">
        <v>187</v>
      </c>
      <c r="C159" s="29" t="s">
        <v>4</v>
      </c>
      <c r="D159" s="28" t="s">
        <v>552</v>
      </c>
      <c r="E159" s="29"/>
      <c r="F159" s="29"/>
      <c r="G159" s="29"/>
      <c r="H159" s="29"/>
      <c r="I159" s="29"/>
      <c r="J159" s="29"/>
      <c r="K159" s="29"/>
      <c r="L159" s="29"/>
      <c r="M159" s="29">
        <v>19387.84</v>
      </c>
      <c r="N159" s="30">
        <v>19393.2</v>
      </c>
      <c r="O159" s="30">
        <v>19385.689999999999</v>
      </c>
      <c r="P159" s="30">
        <v>19404.02</v>
      </c>
      <c r="Q159" s="30">
        <v>19383.45</v>
      </c>
      <c r="R159" s="30">
        <v>19384.82</v>
      </c>
      <c r="S159" s="29">
        <v>19533.48</v>
      </c>
      <c r="T159" s="30">
        <v>19403.2</v>
      </c>
      <c r="U159" s="30">
        <v>19504.41</v>
      </c>
      <c r="V159" s="30">
        <v>19383.27</v>
      </c>
      <c r="W159" s="30">
        <v>19409.919999999998</v>
      </c>
      <c r="X159" s="30">
        <v>19383.38</v>
      </c>
      <c r="Y159" s="30">
        <v>19407.490000000002</v>
      </c>
      <c r="Z159" s="35">
        <v>20096.89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spans="1:41" x14ac:dyDescent="0.25">
      <c r="A160" s="27" t="s">
        <v>53</v>
      </c>
      <c r="B160" s="28" t="s">
        <v>223</v>
      </c>
      <c r="C160" s="29" t="s">
        <v>54</v>
      </c>
      <c r="D160" s="28" t="s">
        <v>553</v>
      </c>
      <c r="E160" s="29"/>
      <c r="F160" s="29"/>
      <c r="G160" s="29"/>
      <c r="H160" s="29"/>
      <c r="I160" s="29"/>
      <c r="J160" s="29"/>
      <c r="K160" s="29"/>
      <c r="L160" s="29"/>
      <c r="M160" s="29">
        <v>64209.61</v>
      </c>
      <c r="N160" s="30">
        <v>64207.92</v>
      </c>
      <c r="O160" s="30">
        <v>64214.07</v>
      </c>
      <c r="P160" s="30">
        <v>64299.35</v>
      </c>
      <c r="Q160" s="30">
        <v>64206.27</v>
      </c>
      <c r="R160" s="30">
        <v>64358.6</v>
      </c>
      <c r="S160" s="29">
        <v>64703.64</v>
      </c>
      <c r="T160" s="30">
        <v>64272.1</v>
      </c>
      <c r="U160" s="30">
        <v>64607.34</v>
      </c>
      <c r="V160" s="30">
        <v>64206.05</v>
      </c>
      <c r="W160" s="30">
        <v>64294.36</v>
      </c>
      <c r="X160" s="30">
        <v>64206.43</v>
      </c>
      <c r="Y160" s="30">
        <v>64286.31</v>
      </c>
      <c r="Z160" s="35">
        <v>65098.51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spans="1:41" x14ac:dyDescent="0.25">
      <c r="A161" s="27" t="s">
        <v>55</v>
      </c>
      <c r="B161" s="28" t="s">
        <v>224</v>
      </c>
      <c r="C161" s="29" t="s">
        <v>54</v>
      </c>
      <c r="D161" s="28" t="s">
        <v>554</v>
      </c>
      <c r="E161" s="29"/>
      <c r="F161" s="29"/>
      <c r="G161" s="29"/>
      <c r="H161" s="29"/>
      <c r="I161" s="29"/>
      <c r="J161" s="29"/>
      <c r="K161" s="29"/>
      <c r="L161" s="29"/>
      <c r="M161" s="29">
        <v>77511.19</v>
      </c>
      <c r="N161" s="30">
        <v>77511.460000000006</v>
      </c>
      <c r="O161" s="30">
        <v>77491.88</v>
      </c>
      <c r="P161" s="30">
        <v>77562.62</v>
      </c>
      <c r="Q161" s="30">
        <v>77483.02</v>
      </c>
      <c r="R161" s="30">
        <v>77604.210000000006</v>
      </c>
      <c r="S161" s="30">
        <v>78082.679999999993</v>
      </c>
      <c r="T161" s="30">
        <v>77561.87</v>
      </c>
      <c r="U161" s="30">
        <v>77966.47</v>
      </c>
      <c r="V161" s="30">
        <v>77482.2</v>
      </c>
      <c r="W161" s="30">
        <v>77588.759999999995</v>
      </c>
      <c r="X161" s="30">
        <v>77482.66</v>
      </c>
      <c r="Y161" s="30">
        <v>77579.039999999994</v>
      </c>
      <c r="Z161" s="35">
        <v>77967.320000000007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spans="1:41" x14ac:dyDescent="0.25">
      <c r="A162" s="27" t="s">
        <v>65</v>
      </c>
      <c r="B162" s="28" t="s">
        <v>225</v>
      </c>
      <c r="C162" s="29" t="s">
        <v>2</v>
      </c>
      <c r="D162" s="28" t="s">
        <v>555</v>
      </c>
      <c r="E162" s="29"/>
      <c r="F162" s="29"/>
      <c r="G162" s="29"/>
      <c r="H162" s="29"/>
      <c r="I162" s="29"/>
      <c r="J162" s="29"/>
      <c r="K162" s="29"/>
      <c r="L162" s="29"/>
      <c r="M162" s="29">
        <v>1372.75</v>
      </c>
      <c r="N162" s="29">
        <v>1374.02</v>
      </c>
      <c r="O162" s="29">
        <v>1372.6</v>
      </c>
      <c r="P162" s="29">
        <v>1374.7</v>
      </c>
      <c r="Q162" s="29">
        <v>1372.48</v>
      </c>
      <c r="R162" s="29">
        <v>1372.95</v>
      </c>
      <c r="S162" s="29">
        <v>1383.06</v>
      </c>
      <c r="T162" s="29">
        <v>1373.83</v>
      </c>
      <c r="U162" s="29">
        <v>1381</v>
      </c>
      <c r="V162" s="29">
        <v>1372.45</v>
      </c>
      <c r="W162" s="29">
        <v>1374.31</v>
      </c>
      <c r="X162" s="29">
        <v>1372.43</v>
      </c>
      <c r="Y162" s="29">
        <v>1374.14</v>
      </c>
      <c r="Z162" s="36">
        <v>1360.06</v>
      </c>
    </row>
    <row r="163" spans="1:41" x14ac:dyDescent="0.25">
      <c r="A163" s="27" t="s">
        <v>66</v>
      </c>
      <c r="B163" s="28" t="s">
        <v>226</v>
      </c>
      <c r="C163" s="29" t="s">
        <v>2</v>
      </c>
      <c r="D163" s="28" t="s">
        <v>556</v>
      </c>
      <c r="E163" s="29"/>
      <c r="F163" s="29"/>
      <c r="G163" s="29"/>
      <c r="H163" s="29"/>
      <c r="I163" s="29"/>
      <c r="J163" s="29"/>
      <c r="K163" s="29"/>
      <c r="L163" s="29"/>
      <c r="M163" s="29">
        <v>1372.75</v>
      </c>
      <c r="N163" s="29">
        <v>1375.06</v>
      </c>
      <c r="O163" s="29">
        <v>1372.59</v>
      </c>
      <c r="P163" s="29">
        <v>1374.7</v>
      </c>
      <c r="Q163" s="29">
        <v>1372.48</v>
      </c>
      <c r="R163" s="29">
        <v>1372.95</v>
      </c>
      <c r="S163" s="29">
        <v>1383.06</v>
      </c>
      <c r="T163" s="29">
        <v>1373.83</v>
      </c>
      <c r="U163" s="29">
        <v>1381</v>
      </c>
      <c r="V163" s="29">
        <v>1372.45</v>
      </c>
      <c r="W163" s="29">
        <v>1374.32</v>
      </c>
      <c r="X163" s="29">
        <v>1372.43</v>
      </c>
      <c r="Y163" s="29">
        <v>1374.14</v>
      </c>
      <c r="Z163" s="36">
        <v>1349.58</v>
      </c>
    </row>
    <row r="164" spans="1:41" x14ac:dyDescent="0.25">
      <c r="A164" s="27" t="s">
        <v>57</v>
      </c>
      <c r="B164" s="28" t="s">
        <v>189</v>
      </c>
      <c r="C164" s="29" t="s">
        <v>54</v>
      </c>
      <c r="D164" s="28" t="s">
        <v>557</v>
      </c>
      <c r="E164" s="29"/>
      <c r="F164" s="29"/>
      <c r="G164" s="29"/>
      <c r="H164" s="29"/>
      <c r="I164" s="29"/>
      <c r="J164" s="29"/>
      <c r="K164" s="29"/>
      <c r="L164" s="29"/>
      <c r="M164" s="29">
        <v>109437.16</v>
      </c>
      <c r="N164" s="29">
        <v>109602.39</v>
      </c>
      <c r="O164" s="29">
        <v>109433.21</v>
      </c>
      <c r="P164" s="29">
        <v>109435.62</v>
      </c>
      <c r="Q164" s="29">
        <v>109419.94</v>
      </c>
      <c r="R164" s="29">
        <v>109458.09</v>
      </c>
      <c r="S164" s="29">
        <v>110267.53</v>
      </c>
      <c r="T164" s="29">
        <v>109532.07</v>
      </c>
      <c r="U164" s="29">
        <v>110103.4</v>
      </c>
      <c r="V164" s="29">
        <v>109419.54</v>
      </c>
      <c r="W164" s="29">
        <v>109570.06</v>
      </c>
      <c r="X164" s="29">
        <v>109420.18</v>
      </c>
      <c r="Y164" s="29">
        <v>109556.3</v>
      </c>
      <c r="Z164" s="36">
        <v>106761.24</v>
      </c>
    </row>
    <row r="165" spans="1:41" x14ac:dyDescent="0.25">
      <c r="A165" s="27" t="s">
        <v>126</v>
      </c>
      <c r="B165" s="28" t="s">
        <v>311</v>
      </c>
      <c r="C165" s="29" t="s">
        <v>2</v>
      </c>
      <c r="D165" s="28" t="s">
        <v>558</v>
      </c>
      <c r="E165" s="29"/>
      <c r="F165" s="29"/>
      <c r="G165" s="29"/>
      <c r="H165" s="29"/>
      <c r="I165" s="29"/>
      <c r="J165" s="29"/>
      <c r="K165" s="29"/>
      <c r="L165" s="29"/>
      <c r="M165" s="29">
        <v>7857.64</v>
      </c>
      <c r="N165" s="29">
        <v>7857.61</v>
      </c>
      <c r="O165" s="29">
        <v>7857.52</v>
      </c>
      <c r="P165" s="29">
        <v>7859.19</v>
      </c>
      <c r="Q165" s="29">
        <v>7856.58</v>
      </c>
      <c r="R165" s="29">
        <v>7913.82</v>
      </c>
      <c r="S165" s="29">
        <v>7917.42</v>
      </c>
      <c r="T165" s="29">
        <v>7864.63</v>
      </c>
      <c r="U165" s="29">
        <v>7905.64</v>
      </c>
      <c r="V165" s="29">
        <v>7856.85</v>
      </c>
      <c r="W165" s="29">
        <v>7867.34</v>
      </c>
      <c r="X165" s="29">
        <v>7856.6</v>
      </c>
      <c r="Y165" s="29">
        <v>7866.36</v>
      </c>
      <c r="Z165" s="36">
        <v>7545.64</v>
      </c>
    </row>
    <row r="166" spans="1:41" x14ac:dyDescent="0.25">
      <c r="A166" s="27" t="s">
        <v>559</v>
      </c>
      <c r="B166" s="28" t="s">
        <v>560</v>
      </c>
      <c r="C166" s="29" t="s">
        <v>310</v>
      </c>
      <c r="D166" s="28" t="s">
        <v>561</v>
      </c>
      <c r="E166" s="29"/>
      <c r="F166" s="29"/>
      <c r="G166" s="29"/>
      <c r="H166" s="29"/>
      <c r="I166" s="29"/>
      <c r="J166" s="29"/>
      <c r="K166" s="29"/>
      <c r="L166" s="29"/>
      <c r="M166" s="29">
        <v>9767.84</v>
      </c>
      <c r="N166" s="30">
        <v>9768.51</v>
      </c>
      <c r="O166" s="30">
        <v>9768.35</v>
      </c>
      <c r="P166" s="30">
        <v>9772.15</v>
      </c>
      <c r="Q166" s="30">
        <v>9767.24</v>
      </c>
      <c r="R166" s="30">
        <v>9842.1</v>
      </c>
      <c r="S166" s="30">
        <v>9842.82</v>
      </c>
      <c r="T166" s="30">
        <v>9777.17</v>
      </c>
      <c r="U166" s="30">
        <v>9828.18</v>
      </c>
      <c r="V166" s="30">
        <v>9767.9</v>
      </c>
      <c r="W166" s="30">
        <v>9780.58</v>
      </c>
      <c r="X166" s="30">
        <v>9767.18</v>
      </c>
      <c r="Y166" s="30">
        <v>9779.34</v>
      </c>
      <c r="Z166" s="35">
        <v>9455.24</v>
      </c>
    </row>
    <row r="167" spans="1:41" x14ac:dyDescent="0.25">
      <c r="A167" s="27" t="s">
        <v>562</v>
      </c>
      <c r="B167" s="28" t="s">
        <v>312</v>
      </c>
      <c r="C167" s="29" t="s">
        <v>310</v>
      </c>
      <c r="D167" s="28" t="s">
        <v>563</v>
      </c>
      <c r="E167" s="29"/>
      <c r="F167" s="29"/>
      <c r="G167" s="29"/>
      <c r="H167" s="29"/>
      <c r="I167" s="29"/>
      <c r="J167" s="29"/>
      <c r="K167" s="29"/>
      <c r="L167" s="29"/>
      <c r="M167" s="29">
        <v>13058.98</v>
      </c>
      <c r="N167" s="30">
        <v>13066.21</v>
      </c>
      <c r="O167" s="30">
        <v>13059.91</v>
      </c>
      <c r="P167" s="30">
        <v>13067.27</v>
      </c>
      <c r="Q167" s="30">
        <v>13058.3</v>
      </c>
      <c r="R167" s="30">
        <v>13062.3</v>
      </c>
      <c r="S167" s="30">
        <v>13159.48</v>
      </c>
      <c r="T167" s="30">
        <v>13071.71</v>
      </c>
      <c r="U167" s="30">
        <v>13139.9</v>
      </c>
      <c r="V167" s="30">
        <v>13058.35</v>
      </c>
      <c r="W167" s="30">
        <v>13076.23</v>
      </c>
      <c r="X167" s="30">
        <v>13058.36</v>
      </c>
      <c r="Y167" s="30">
        <v>13074.6</v>
      </c>
      <c r="Z167" s="35">
        <v>12741.04</v>
      </c>
    </row>
    <row r="168" spans="1:41" x14ac:dyDescent="0.25">
      <c r="A168" s="27" t="s">
        <v>564</v>
      </c>
      <c r="B168" s="28" t="s">
        <v>313</v>
      </c>
      <c r="C168" s="29" t="s">
        <v>310</v>
      </c>
      <c r="D168" s="28" t="s">
        <v>565</v>
      </c>
      <c r="E168" s="29"/>
      <c r="F168" s="29"/>
      <c r="G168" s="29"/>
      <c r="H168" s="29"/>
      <c r="I168" s="29"/>
      <c r="J168" s="29"/>
      <c r="K168" s="29"/>
      <c r="L168" s="29"/>
      <c r="M168" s="29">
        <v>12297.49</v>
      </c>
      <c r="N168" s="30">
        <v>12313.23</v>
      </c>
      <c r="O168" s="30">
        <v>12298.66</v>
      </c>
      <c r="P168" s="30">
        <v>12300.21</v>
      </c>
      <c r="Q168" s="30">
        <v>12297.16</v>
      </c>
      <c r="R168" s="30">
        <v>12427.67</v>
      </c>
      <c r="S168" s="30">
        <v>12392.43</v>
      </c>
      <c r="T168" s="30">
        <v>12309.78</v>
      </c>
      <c r="U168" s="30">
        <v>12373.99</v>
      </c>
      <c r="V168" s="30">
        <v>12297.2</v>
      </c>
      <c r="W168" s="30">
        <v>12314.04</v>
      </c>
      <c r="X168" s="30">
        <v>12297.21</v>
      </c>
      <c r="Y168" s="30">
        <v>12312.5</v>
      </c>
      <c r="Z168" s="35">
        <v>12092.31</v>
      </c>
    </row>
    <row r="169" spans="1:41" x14ac:dyDescent="0.25">
      <c r="A169" s="27" t="s">
        <v>566</v>
      </c>
      <c r="B169" s="28" t="s">
        <v>567</v>
      </c>
      <c r="C169" s="29" t="s">
        <v>310</v>
      </c>
      <c r="D169" s="28" t="s">
        <v>568</v>
      </c>
      <c r="E169" s="29"/>
      <c r="F169" s="29"/>
      <c r="G169" s="29"/>
      <c r="H169" s="29"/>
      <c r="I169" s="29"/>
      <c r="J169" s="29"/>
      <c r="K169" s="29"/>
      <c r="L169" s="29"/>
      <c r="M169" s="29">
        <v>19333.55</v>
      </c>
      <c r="N169" s="30">
        <v>19362.13</v>
      </c>
      <c r="O169" s="30">
        <v>19330.759999999998</v>
      </c>
      <c r="P169" s="30">
        <v>19362.97</v>
      </c>
      <c r="Q169" s="30">
        <v>19328.349999999999</v>
      </c>
      <c r="R169" s="30">
        <v>19336.14</v>
      </c>
      <c r="S169" s="30">
        <v>19478.13</v>
      </c>
      <c r="T169" s="30">
        <v>19348.22</v>
      </c>
      <c r="U169" s="30">
        <v>19449.14</v>
      </c>
      <c r="V169" s="30">
        <v>19328.349999999999</v>
      </c>
      <c r="W169" s="30">
        <v>19354.93</v>
      </c>
      <c r="X169" s="30">
        <v>19328.46</v>
      </c>
      <c r="Y169" s="30">
        <v>19352.5</v>
      </c>
      <c r="Z169" s="35">
        <v>19154.060000000001</v>
      </c>
    </row>
    <row r="170" spans="1:41" x14ac:dyDescent="0.25">
      <c r="A170" s="27" t="s">
        <v>569</v>
      </c>
      <c r="B170" s="28" t="s">
        <v>496</v>
      </c>
      <c r="C170" s="29" t="s">
        <v>2</v>
      </c>
      <c r="D170" s="28" t="s">
        <v>570</v>
      </c>
      <c r="E170" s="29"/>
      <c r="F170" s="29"/>
      <c r="G170" s="29"/>
      <c r="H170" s="29"/>
      <c r="I170" s="29"/>
      <c r="J170" s="29"/>
      <c r="K170" s="29"/>
      <c r="L170" s="29"/>
      <c r="M170" s="29">
        <v>20274.07</v>
      </c>
      <c r="N170" s="30">
        <v>20274.759999999998</v>
      </c>
      <c r="O170" s="30">
        <v>20274.849999999999</v>
      </c>
      <c r="P170" s="30">
        <v>20285.46</v>
      </c>
      <c r="Q170" s="30">
        <v>20272.490000000002</v>
      </c>
      <c r="R170" s="30">
        <v>20371.490000000002</v>
      </c>
      <c r="S170" s="30">
        <v>20429.41</v>
      </c>
      <c r="T170" s="30">
        <v>20293.150000000001</v>
      </c>
      <c r="U170" s="30">
        <v>20399.009999999998</v>
      </c>
      <c r="V170" s="30">
        <v>20273.55</v>
      </c>
      <c r="W170" s="30">
        <v>20300.2</v>
      </c>
      <c r="X170" s="30">
        <v>20272.45</v>
      </c>
      <c r="Y170" s="30">
        <v>20297.64</v>
      </c>
      <c r="Z170" s="35">
        <v>20244.38</v>
      </c>
    </row>
    <row r="171" spans="1:41" x14ac:dyDescent="0.25">
      <c r="A171" s="27" t="s">
        <v>571</v>
      </c>
      <c r="B171" s="28" t="s">
        <v>314</v>
      </c>
      <c r="C171" s="29" t="s">
        <v>315</v>
      </c>
      <c r="D171" s="28" t="s">
        <v>572</v>
      </c>
      <c r="E171" s="29"/>
      <c r="F171" s="29"/>
      <c r="G171" s="29"/>
      <c r="H171" s="29"/>
      <c r="I171" s="29"/>
      <c r="J171" s="29"/>
      <c r="K171" s="29"/>
      <c r="L171" s="29"/>
      <c r="M171" s="29">
        <v>61376.480000000003</v>
      </c>
      <c r="N171" s="30">
        <v>61363.63</v>
      </c>
      <c r="O171" s="30">
        <v>61370.53</v>
      </c>
      <c r="P171" s="30">
        <v>61491.35</v>
      </c>
      <c r="Q171" s="30">
        <v>61363</v>
      </c>
      <c r="R171" s="30">
        <v>61954.81</v>
      </c>
      <c r="S171" s="30">
        <v>61838.400000000001</v>
      </c>
      <c r="T171" s="30">
        <v>61425.94</v>
      </c>
      <c r="U171" s="30">
        <v>61746.37</v>
      </c>
      <c r="V171" s="30">
        <v>61362.84</v>
      </c>
      <c r="W171" s="30">
        <v>61447.24</v>
      </c>
      <c r="X171" s="30">
        <v>61363.25</v>
      </c>
      <c r="Y171" s="30">
        <v>61439.54</v>
      </c>
      <c r="Z171" s="35">
        <v>61747.05</v>
      </c>
    </row>
    <row r="172" spans="1:41" x14ac:dyDescent="0.25">
      <c r="A172" s="27" t="s">
        <v>573</v>
      </c>
      <c r="B172" s="28" t="s">
        <v>499</v>
      </c>
      <c r="C172" s="29" t="s">
        <v>2</v>
      </c>
      <c r="D172" s="28" t="s">
        <v>574</v>
      </c>
      <c r="E172" s="29"/>
      <c r="F172" s="29"/>
      <c r="G172" s="29"/>
      <c r="H172" s="29"/>
      <c r="I172" s="29"/>
      <c r="J172" s="29"/>
      <c r="K172" s="29"/>
      <c r="L172" s="29"/>
      <c r="M172" s="29">
        <v>29639.95</v>
      </c>
      <c r="N172" s="29">
        <v>29672.68</v>
      </c>
      <c r="O172" s="29">
        <v>29633.94</v>
      </c>
      <c r="P172" s="29">
        <v>29634.63</v>
      </c>
      <c r="Q172" s="29">
        <v>29630.53</v>
      </c>
      <c r="R172" s="29">
        <v>29740.6</v>
      </c>
      <c r="S172" s="29">
        <v>29859.87</v>
      </c>
      <c r="T172" s="29">
        <v>29660.7</v>
      </c>
      <c r="U172" s="29">
        <v>29815.42</v>
      </c>
      <c r="V172" s="29">
        <v>29630.240000000002</v>
      </c>
      <c r="W172" s="29">
        <v>29670.99</v>
      </c>
      <c r="X172" s="29">
        <v>29630.43</v>
      </c>
      <c r="Y172" s="29">
        <v>29667.27</v>
      </c>
      <c r="Z172" s="36">
        <v>30042.1</v>
      </c>
    </row>
    <row r="173" spans="1:41" x14ac:dyDescent="0.25">
      <c r="A173" s="27" t="s">
        <v>575</v>
      </c>
      <c r="B173" s="28" t="s">
        <v>576</v>
      </c>
      <c r="C173" s="29" t="s">
        <v>2</v>
      </c>
      <c r="D173" s="28" t="s">
        <v>577</v>
      </c>
      <c r="E173" s="29"/>
      <c r="F173" s="29"/>
      <c r="G173" s="29"/>
      <c r="H173" s="29"/>
      <c r="I173" s="29"/>
      <c r="J173" s="29"/>
      <c r="K173" s="29"/>
      <c r="L173" s="29"/>
      <c r="M173" s="29">
        <v>16988.95</v>
      </c>
      <c r="N173" s="29">
        <v>17002.75</v>
      </c>
      <c r="O173" s="29">
        <v>16987.900000000001</v>
      </c>
      <c r="P173" s="29">
        <v>17017.91</v>
      </c>
      <c r="Q173" s="29">
        <v>16985.900000000001</v>
      </c>
      <c r="R173" s="29">
        <v>16990.189999999999</v>
      </c>
      <c r="S173" s="29">
        <v>17117.419999999998</v>
      </c>
      <c r="T173" s="29">
        <v>17003.259999999998</v>
      </c>
      <c r="U173" s="29">
        <v>17091.939999999999</v>
      </c>
      <c r="V173" s="29">
        <v>16985.79</v>
      </c>
      <c r="W173" s="29">
        <v>17009.13</v>
      </c>
      <c r="X173" s="29">
        <v>16985.89</v>
      </c>
      <c r="Y173" s="29">
        <v>17007.009999999998</v>
      </c>
      <c r="Z173" s="36">
        <v>17351.63</v>
      </c>
    </row>
    <row r="174" spans="1:41" x14ac:dyDescent="0.25">
      <c r="A174" s="27" t="s">
        <v>578</v>
      </c>
      <c r="B174" s="28" t="s">
        <v>579</v>
      </c>
      <c r="C174" s="29" t="s">
        <v>2</v>
      </c>
      <c r="D174" s="28" t="s">
        <v>580</v>
      </c>
      <c r="E174" s="29"/>
      <c r="F174" s="29"/>
      <c r="G174" s="29"/>
      <c r="H174" s="29"/>
      <c r="I174" s="29"/>
      <c r="J174" s="29"/>
      <c r="K174" s="29"/>
      <c r="L174" s="29"/>
      <c r="M174" s="29">
        <v>20412.7</v>
      </c>
      <c r="N174" s="29">
        <v>20412.66</v>
      </c>
      <c r="O174" s="29">
        <v>20410.45</v>
      </c>
      <c r="P174" s="29">
        <v>20411.57</v>
      </c>
      <c r="Q174" s="29">
        <v>20407.919999999998</v>
      </c>
      <c r="R174" s="29">
        <v>20465.11</v>
      </c>
      <c r="S174" s="29">
        <v>20566.060000000001</v>
      </c>
      <c r="T174" s="29">
        <v>20428.89</v>
      </c>
      <c r="U174" s="29">
        <v>20535.45</v>
      </c>
      <c r="V174" s="29">
        <v>20407.900000000001</v>
      </c>
      <c r="W174" s="29">
        <v>20435.97</v>
      </c>
      <c r="X174" s="29">
        <v>20408.04</v>
      </c>
      <c r="Y174" s="29">
        <v>20433.41</v>
      </c>
      <c r="Z174" s="36">
        <v>21003.360000000001</v>
      </c>
    </row>
    <row r="175" spans="1:41" x14ac:dyDescent="0.25">
      <c r="A175" s="27" t="s">
        <v>581</v>
      </c>
      <c r="B175" s="28" t="s">
        <v>582</v>
      </c>
      <c r="C175" s="29" t="s">
        <v>2</v>
      </c>
      <c r="D175" s="28" t="s">
        <v>583</v>
      </c>
      <c r="E175" s="29"/>
      <c r="F175" s="29"/>
      <c r="G175" s="29"/>
      <c r="H175" s="29"/>
      <c r="I175" s="29"/>
      <c r="J175" s="29"/>
      <c r="K175" s="29"/>
      <c r="L175" s="29"/>
      <c r="M175" s="29">
        <v>16988.95</v>
      </c>
      <c r="N175" s="29">
        <v>17029.849999999999</v>
      </c>
      <c r="O175" s="29">
        <v>16987.900000000001</v>
      </c>
      <c r="P175" s="29">
        <v>16997.03</v>
      </c>
      <c r="Q175" s="29">
        <v>16985.900000000001</v>
      </c>
      <c r="R175" s="29">
        <v>17000.580000000002</v>
      </c>
      <c r="S175" s="29">
        <v>17117.419999999998</v>
      </c>
      <c r="T175" s="29">
        <v>17003.25</v>
      </c>
      <c r="U175" s="29">
        <v>17091.939999999999</v>
      </c>
      <c r="V175" s="29">
        <v>16985.79</v>
      </c>
      <c r="W175" s="29">
        <v>17009.150000000001</v>
      </c>
      <c r="X175" s="29">
        <v>16985.89</v>
      </c>
      <c r="Y175" s="29">
        <v>17007.009999999998</v>
      </c>
      <c r="Z175" s="36">
        <v>17611.16</v>
      </c>
    </row>
    <row r="176" spans="1:41" ht="15.75" thickBot="1" x14ac:dyDescent="0.3">
      <c r="A176" s="31" t="s">
        <v>584</v>
      </c>
      <c r="B176" s="32" t="s">
        <v>585</v>
      </c>
      <c r="C176" s="33" t="s">
        <v>2</v>
      </c>
      <c r="D176" s="32" t="s">
        <v>586</v>
      </c>
      <c r="E176" s="33"/>
      <c r="F176" s="33"/>
      <c r="G176" s="33"/>
      <c r="H176" s="33"/>
      <c r="I176" s="33"/>
      <c r="J176" s="33"/>
      <c r="K176" s="33"/>
      <c r="L176" s="33"/>
      <c r="M176" s="33">
        <v>20412.7</v>
      </c>
      <c r="N176" s="33">
        <v>20419.71</v>
      </c>
      <c r="O176" s="33">
        <v>20410.45</v>
      </c>
      <c r="P176" s="33">
        <v>20432.45</v>
      </c>
      <c r="Q176" s="33">
        <v>20407.919999999998</v>
      </c>
      <c r="R176" s="33">
        <v>20475.5</v>
      </c>
      <c r="S176" s="33">
        <v>20566.060000000001</v>
      </c>
      <c r="T176" s="33">
        <v>20428.87</v>
      </c>
      <c r="U176" s="33">
        <v>20535.46</v>
      </c>
      <c r="V176" s="33">
        <v>20407.900000000001</v>
      </c>
      <c r="W176" s="33">
        <v>20435.97</v>
      </c>
      <c r="X176" s="33">
        <v>20408.04</v>
      </c>
      <c r="Y176" s="33">
        <v>20433.41</v>
      </c>
      <c r="Z176" s="37">
        <v>21003.360000000001</v>
      </c>
    </row>
  </sheetData>
  <autoFilter ref="A1:Z126" xr:uid="{00000000-0009-0000-0000-000004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Hoja2</vt:lpstr>
      <vt:lpstr>TD</vt:lpstr>
      <vt:lpstr>BD</vt:lpstr>
      <vt:lpstr>Hoja1</vt:lpstr>
      <vt:lpstr>Preciario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nahue</cp:lastModifiedBy>
  <dcterms:created xsi:type="dcterms:W3CDTF">2015-08-04T14:24:27Z</dcterms:created>
  <dcterms:modified xsi:type="dcterms:W3CDTF">2026-09-23T13:37:43Z</dcterms:modified>
</cp:coreProperties>
</file>